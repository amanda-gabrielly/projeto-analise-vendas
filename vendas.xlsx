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29e5b8947aa361/Desktop/AMANDA/Projetos/"/>
    </mc:Choice>
  </mc:AlternateContent>
  <xr:revisionPtr revIDLastSave="0" documentId="8_{375EA825-18F1-4D46-90E8-B44F946ED2CC}" xr6:coauthVersionLast="47" xr6:coauthVersionMax="47" xr10:uidLastSave="{00000000-0000-0000-0000-000000000000}"/>
  <bookViews>
    <workbookView xWindow="-96" yWindow="0" windowWidth="15324" windowHeight="12336" xr2:uid="{75C91E2E-1B6D-4182-AC82-8711F5F84617}"/>
  </bookViews>
  <sheets>
    <sheet name="Vendas" sheetId="1" r:id="rId1"/>
    <sheet name="Listas" sheetId="2" r:id="rId2"/>
    <sheet name="Indicado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2" i="3"/>
  <c r="B4" i="3"/>
  <c r="B3" i="3"/>
  <c r="L2" i="1"/>
  <c r="Q2" i="3" s="1"/>
  <c r="L3" i="1"/>
  <c r="L4" i="1"/>
  <c r="E3" i="3" s="1"/>
  <c r="L5" i="1"/>
  <c r="L6" i="1"/>
  <c r="L7" i="1"/>
  <c r="H6" i="3" s="1"/>
  <c r="L8" i="1"/>
  <c r="L9" i="1"/>
  <c r="L10" i="1"/>
  <c r="H5" i="3" s="1"/>
  <c r="L11" i="1"/>
  <c r="L12" i="1"/>
  <c r="L13" i="1"/>
  <c r="L14" i="1"/>
  <c r="L15" i="1"/>
  <c r="E6" i="3" s="1"/>
  <c r="L16" i="1"/>
  <c r="N7" i="3" s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Q3" i="3" s="1"/>
  <c r="L34" i="1"/>
  <c r="L35" i="1"/>
  <c r="L36" i="1"/>
  <c r="L37" i="1"/>
  <c r="L38" i="1"/>
  <c r="L39" i="1"/>
  <c r="L40" i="1"/>
  <c r="N5" i="3" s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Q4" i="3" s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Q5" i="3" s="1"/>
  <c r="L93" i="1"/>
  <c r="L94" i="1"/>
  <c r="L95" i="1"/>
  <c r="L96" i="1"/>
  <c r="L97" i="1"/>
  <c r="L98" i="1"/>
  <c r="L99" i="1"/>
  <c r="L100" i="1"/>
  <c r="L101" i="1"/>
  <c r="E7" i="3" l="1"/>
  <c r="H2" i="3"/>
  <c r="N4" i="3"/>
  <c r="N6" i="3"/>
  <c r="E5" i="3"/>
  <c r="E4" i="3"/>
  <c r="N3" i="3"/>
  <c r="N2" i="3"/>
  <c r="E2" i="3"/>
  <c r="B2" i="3"/>
  <c r="B5" i="3" s="1"/>
  <c r="H4" i="3"/>
  <c r="H3" i="3"/>
</calcChain>
</file>

<file path=xl/sharedStrings.xml><?xml version="1.0" encoding="utf-8"?>
<sst xmlns="http://schemas.openxmlformats.org/spreadsheetml/2006/main" count="711" uniqueCount="65">
  <si>
    <t>ID_Venda</t>
  </si>
  <si>
    <t>Data</t>
  </si>
  <si>
    <t>Produto</t>
  </si>
  <si>
    <t xml:space="preserve">Categoria </t>
  </si>
  <si>
    <t>Quantidade</t>
  </si>
  <si>
    <t>Preco_Unitario</t>
  </si>
  <si>
    <t>Desconto</t>
  </si>
  <si>
    <t>Cidade</t>
  </si>
  <si>
    <t>Estado</t>
  </si>
  <si>
    <t>Forma_Pagamento</t>
  </si>
  <si>
    <t>Vendedor</t>
  </si>
  <si>
    <t>Produtos</t>
  </si>
  <si>
    <t>Notebook</t>
  </si>
  <si>
    <t>Smartphone</t>
  </si>
  <si>
    <t>Monitor</t>
  </si>
  <si>
    <t>Teclado</t>
  </si>
  <si>
    <t>Mouse</t>
  </si>
  <si>
    <t>Headset</t>
  </si>
  <si>
    <t>Categorias</t>
  </si>
  <si>
    <t>Informática</t>
  </si>
  <si>
    <t>Celulares</t>
  </si>
  <si>
    <t>Monitores</t>
  </si>
  <si>
    <t>Periféricos</t>
  </si>
  <si>
    <t>Estados</t>
  </si>
  <si>
    <t>PE</t>
  </si>
  <si>
    <t>BA</t>
  </si>
  <si>
    <t>CE</t>
  </si>
  <si>
    <t>AL</t>
  </si>
  <si>
    <t>PB</t>
  </si>
  <si>
    <t>RN</t>
  </si>
  <si>
    <t>Formas_Pagamento</t>
  </si>
  <si>
    <t>Pix</t>
  </si>
  <si>
    <t>Cartão de crédito</t>
  </si>
  <si>
    <t>Cartão de débito</t>
  </si>
  <si>
    <t>Boleto</t>
  </si>
  <si>
    <t>Vendedores</t>
  </si>
  <si>
    <t>Ana</t>
  </si>
  <si>
    <t>Bruno</t>
  </si>
  <si>
    <t>Carla</t>
  </si>
  <si>
    <t>Diego</t>
  </si>
  <si>
    <t>Fernanda</t>
  </si>
  <si>
    <t>Recife</t>
  </si>
  <si>
    <t>Caruaru</t>
  </si>
  <si>
    <t>Salvador</t>
  </si>
  <si>
    <t>Feira de Santana</t>
  </si>
  <si>
    <t>Fortaleza</t>
  </si>
  <si>
    <t>Juazeiro do Norte</t>
  </si>
  <si>
    <t>Maceió</t>
  </si>
  <si>
    <t>Arapiraca</t>
  </si>
  <si>
    <t>João Pessoa</t>
  </si>
  <si>
    <t>Campina Grande</t>
  </si>
  <si>
    <t>Natal</t>
  </si>
  <si>
    <t>Mossoró</t>
  </si>
  <si>
    <t>Faturamento</t>
  </si>
  <si>
    <t>Indicador</t>
  </si>
  <si>
    <t>Valor</t>
  </si>
  <si>
    <t>Faturamento Total</t>
  </si>
  <si>
    <t>Quantidade de Vendas</t>
  </si>
  <si>
    <t>Unidades Vendidas</t>
  </si>
  <si>
    <t>Ticket Médio</t>
  </si>
  <si>
    <t>Mês</t>
  </si>
  <si>
    <t>Janeiro</t>
  </si>
  <si>
    <t>Fevereiro</t>
  </si>
  <si>
    <t>Março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</si>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</sst>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9" fontId="0" fillId="0" borderId="0" xfId="2" applyFont="1"/>
    <xf numFmtId="164" fontId="0" fillId="0" borderId="0" xfId="0" applyNumberFormat="1" applyAlignment="1">
      <alignment horizontal="center"/>
    </xf>
    <xf numFmtId="164" fontId="0" fillId="0" borderId="0" xfId="0" applyNumberFormat="1"/>
    <xf numFmtId="44" fontId="0" fillId="0" borderId="0" xfId="1" applyFont="1"/>
    <xf numFmtId="44" fontId="0" fillId="0" borderId="0" xfId="1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8">
    <dxf>
      <numFmt numFmtId="164" formatCode="&quot;R$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192CB5-0CAB-4F44-AB47-95243A7110EB}" name="Vendas" displayName="Vendas" ref="A1:L101" totalsRowShown="0" headerRowDxfId="7">
  <autoFilter ref="A1:L101" xr:uid="{95192CB5-0CAB-4F44-AB47-95243A7110EB}"/>
  <tableColumns count="12">
    <tableColumn id="1" xr3:uid="{29B16897-8B55-41E7-BB4B-E8D452AE7200}" name="ID_Venda"/>
    <tableColumn id="2" xr3:uid="{D34979AE-8E83-4358-86F7-839F29CA3D0F}" name="Data"/>
    <tableColumn id="3" xr3:uid="{5CDF139D-2493-4D61-818F-C871AFB84580}" name="Produto"/>
    <tableColumn id="4" xr3:uid="{AE55DD2F-6854-4DA3-87DE-B55E6FF13141}" name="Categoria " dataDxfId="6"/>
    <tableColumn id="5" xr3:uid="{9D580238-7AD4-4862-94CD-8125EDAF2274}" name="Quantidade" dataDxfId="5"/>
    <tableColumn id="6" xr3:uid="{118C31E6-2A8B-489A-A6D6-D093A7FF6B80}" name="Preco_Unitario" dataDxfId="4"/>
    <tableColumn id="7" xr3:uid="{3982E9B9-4912-4905-ABA1-2C740DBB63BA}" name="Desconto" dataCellStyle="Porcentagem"/>
    <tableColumn id="8" xr3:uid="{AB770050-421D-4967-A75D-449E9095EB43}" name="Cidade" dataDxfId="3"/>
    <tableColumn id="9" xr3:uid="{6C31A964-2535-4997-8086-CF965D6B355A}" name="Estado"/>
    <tableColumn id="10" xr3:uid="{59C7C2C2-7AFF-41D7-86AC-4690D2D2479D}" name="Forma_Pagamento" dataDxfId="2"/>
    <tableColumn id="11" xr3:uid="{15F9E4A3-C8F0-4ABA-AC98-2ADE6E8BC8BF}" name="Vendedor" dataDxfId="1"/>
    <tableColumn id="12" xr3:uid="{273D339E-69F8-4F50-B01D-9C99416EB3CA}" name="Faturamento" dataDxfId="0">
      <calculatedColumnFormula>E2*F2*(1-G2)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F9F6-8D97-4388-B483-0D70E386E8E9}">
  <dimension ref="A1:L101"/>
  <sheetViews>
    <sheetView tabSelected="1" topLeftCell="A50" zoomScaleNormal="100" workbookViewId="0">
      <selection activeCell="A3" sqref="A2:L101"/>
    </sheetView>
  </sheetViews>
  <sheetFormatPr defaultRowHeight="14.4" x14ac:dyDescent="0.3"/>
  <cols>
    <col min="1" max="1" width="13.21875" bestFit="1" customWidth="1"/>
    <col min="2" max="2" width="10.21875" customWidth="1"/>
    <col min="3" max="3" width="12" bestFit="1" customWidth="1"/>
    <col min="4" max="4" width="13.77734375" bestFit="1" customWidth="1"/>
    <col min="5" max="5" width="15.21875" bestFit="1" customWidth="1"/>
    <col min="6" max="6" width="17.77734375" bestFit="1" customWidth="1"/>
    <col min="7" max="7" width="13.21875" bestFit="1" customWidth="1"/>
    <col min="8" max="8" width="14.88671875" bestFit="1" customWidth="1"/>
    <col min="9" max="9" width="11.109375" bestFit="1" customWidth="1"/>
    <col min="10" max="10" width="21" bestFit="1" customWidth="1"/>
    <col min="11" max="11" width="13.44140625" bestFit="1" customWidth="1"/>
    <col min="12" max="12" width="17.109375" style="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53</v>
      </c>
    </row>
    <row r="2" spans="1:12" x14ac:dyDescent="0.3">
      <c r="A2">
        <v>1</v>
      </c>
      <c r="B2" s="2">
        <v>45658</v>
      </c>
      <c r="C2" t="s">
        <v>12</v>
      </c>
      <c r="D2" t="s">
        <v>19</v>
      </c>
      <c r="E2">
        <v>9</v>
      </c>
      <c r="F2">
        <v>3500</v>
      </c>
      <c r="G2" s="3">
        <v>0.14000000000000001</v>
      </c>
      <c r="H2" t="s">
        <v>42</v>
      </c>
      <c r="I2" t="s">
        <v>24</v>
      </c>
      <c r="J2" t="s">
        <v>34</v>
      </c>
      <c r="K2" t="s">
        <v>37</v>
      </c>
      <c r="L2" s="5">
        <f t="shared" ref="L2:L33" si="0">E2*F2*(1-G2)</f>
        <v>27090</v>
      </c>
    </row>
    <row r="3" spans="1:12" x14ac:dyDescent="0.3">
      <c r="A3">
        <v>2</v>
      </c>
      <c r="B3" s="2">
        <v>45659</v>
      </c>
      <c r="C3" t="s">
        <v>13</v>
      </c>
      <c r="D3" t="s">
        <v>20</v>
      </c>
      <c r="E3">
        <v>6</v>
      </c>
      <c r="F3">
        <v>1800</v>
      </c>
      <c r="G3" s="3">
        <v>0.05</v>
      </c>
      <c r="H3" t="s">
        <v>43</v>
      </c>
      <c r="I3" t="s">
        <v>25</v>
      </c>
      <c r="J3" t="s">
        <v>34</v>
      </c>
      <c r="K3" t="s">
        <v>38</v>
      </c>
      <c r="L3" s="5">
        <f t="shared" si="0"/>
        <v>10260</v>
      </c>
    </row>
    <row r="4" spans="1:12" x14ac:dyDescent="0.3">
      <c r="A4">
        <v>3</v>
      </c>
      <c r="B4" s="2">
        <v>45660</v>
      </c>
      <c r="C4" t="s">
        <v>13</v>
      </c>
      <c r="D4" t="s">
        <v>20</v>
      </c>
      <c r="E4">
        <v>1</v>
      </c>
      <c r="F4">
        <v>1800</v>
      </c>
      <c r="G4" s="3">
        <v>0.08</v>
      </c>
      <c r="H4" t="s">
        <v>45</v>
      </c>
      <c r="I4" t="s">
        <v>26</v>
      </c>
      <c r="J4" t="s">
        <v>33</v>
      </c>
      <c r="K4" t="s">
        <v>37</v>
      </c>
      <c r="L4" s="5">
        <f t="shared" si="0"/>
        <v>1656</v>
      </c>
    </row>
    <row r="5" spans="1:12" x14ac:dyDescent="0.3">
      <c r="A5">
        <v>4</v>
      </c>
      <c r="B5" s="2">
        <v>45661</v>
      </c>
      <c r="C5" t="s">
        <v>12</v>
      </c>
      <c r="D5" t="s">
        <v>19</v>
      </c>
      <c r="E5">
        <v>8</v>
      </c>
      <c r="F5">
        <v>3500</v>
      </c>
      <c r="G5" s="3">
        <v>0.04</v>
      </c>
      <c r="H5" t="s">
        <v>46</v>
      </c>
      <c r="I5" t="s">
        <v>26</v>
      </c>
      <c r="J5" t="s">
        <v>34</v>
      </c>
      <c r="K5" t="s">
        <v>38</v>
      </c>
      <c r="L5" s="5">
        <f t="shared" si="0"/>
        <v>26880</v>
      </c>
    </row>
    <row r="6" spans="1:12" x14ac:dyDescent="0.3">
      <c r="A6">
        <v>5</v>
      </c>
      <c r="B6" s="2">
        <v>45662</v>
      </c>
      <c r="C6" t="s">
        <v>13</v>
      </c>
      <c r="D6" t="s">
        <v>20</v>
      </c>
      <c r="E6">
        <v>7</v>
      </c>
      <c r="F6">
        <v>1800</v>
      </c>
      <c r="G6" s="3">
        <v>0.04</v>
      </c>
      <c r="H6" t="s">
        <v>44</v>
      </c>
      <c r="I6" t="s">
        <v>25</v>
      </c>
      <c r="J6" t="s">
        <v>34</v>
      </c>
      <c r="K6" t="s">
        <v>38</v>
      </c>
      <c r="L6" s="5">
        <f t="shared" si="0"/>
        <v>12096</v>
      </c>
    </row>
    <row r="7" spans="1:12" x14ac:dyDescent="0.3">
      <c r="A7">
        <v>6</v>
      </c>
      <c r="B7" s="2">
        <v>45663</v>
      </c>
      <c r="C7" t="s">
        <v>17</v>
      </c>
      <c r="D7" t="s">
        <v>22</v>
      </c>
      <c r="E7">
        <v>4</v>
      </c>
      <c r="F7">
        <v>250</v>
      </c>
      <c r="G7" s="3">
        <v>0.02</v>
      </c>
      <c r="H7" t="s">
        <v>50</v>
      </c>
      <c r="I7" t="s">
        <v>28</v>
      </c>
      <c r="J7" t="s">
        <v>31</v>
      </c>
      <c r="K7" t="s">
        <v>40</v>
      </c>
      <c r="L7" s="5">
        <f t="shared" si="0"/>
        <v>980</v>
      </c>
    </row>
    <row r="8" spans="1:12" x14ac:dyDescent="0.3">
      <c r="A8">
        <v>7</v>
      </c>
      <c r="B8" s="2">
        <v>45664</v>
      </c>
      <c r="C8" t="s">
        <v>12</v>
      </c>
      <c r="D8" t="s">
        <v>19</v>
      </c>
      <c r="E8">
        <v>10</v>
      </c>
      <c r="F8">
        <v>3500</v>
      </c>
      <c r="G8" s="3">
        <v>0.14000000000000001</v>
      </c>
      <c r="H8" t="s">
        <v>41</v>
      </c>
      <c r="I8" t="s">
        <v>24</v>
      </c>
      <c r="J8" t="s">
        <v>34</v>
      </c>
      <c r="K8" t="s">
        <v>40</v>
      </c>
      <c r="L8" s="5">
        <f t="shared" si="0"/>
        <v>30100</v>
      </c>
    </row>
    <row r="9" spans="1:12" x14ac:dyDescent="0.3">
      <c r="A9">
        <v>8</v>
      </c>
      <c r="B9" s="2">
        <v>45665</v>
      </c>
      <c r="C9" t="s">
        <v>13</v>
      </c>
      <c r="D9" t="s">
        <v>20</v>
      </c>
      <c r="E9">
        <v>4</v>
      </c>
      <c r="F9">
        <v>1800</v>
      </c>
      <c r="G9" s="3">
        <v>0.06</v>
      </c>
      <c r="H9" t="s">
        <v>45</v>
      </c>
      <c r="I9" t="s">
        <v>26</v>
      </c>
      <c r="J9" t="s">
        <v>31</v>
      </c>
      <c r="K9" t="s">
        <v>38</v>
      </c>
      <c r="L9" s="5">
        <f t="shared" si="0"/>
        <v>6768</v>
      </c>
    </row>
    <row r="10" spans="1:12" x14ac:dyDescent="0.3">
      <c r="A10">
        <v>9</v>
      </c>
      <c r="B10" s="2">
        <v>45666</v>
      </c>
      <c r="C10" t="s">
        <v>12</v>
      </c>
      <c r="D10" t="s">
        <v>19</v>
      </c>
      <c r="E10">
        <v>4</v>
      </c>
      <c r="F10">
        <v>3500</v>
      </c>
      <c r="G10" s="3">
        <v>0.01</v>
      </c>
      <c r="H10" t="s">
        <v>43</v>
      </c>
      <c r="I10" t="s">
        <v>25</v>
      </c>
      <c r="J10" t="s">
        <v>33</v>
      </c>
      <c r="K10" t="s">
        <v>39</v>
      </c>
      <c r="L10" s="5">
        <f t="shared" si="0"/>
        <v>13860</v>
      </c>
    </row>
    <row r="11" spans="1:12" x14ac:dyDescent="0.3">
      <c r="A11">
        <v>10</v>
      </c>
      <c r="B11" s="2">
        <v>45667</v>
      </c>
      <c r="C11" t="s">
        <v>12</v>
      </c>
      <c r="D11" t="s">
        <v>19</v>
      </c>
      <c r="E11">
        <v>3</v>
      </c>
      <c r="F11">
        <v>3500</v>
      </c>
      <c r="G11" s="3">
        <v>0.12</v>
      </c>
      <c r="H11" t="s">
        <v>41</v>
      </c>
      <c r="I11" t="s">
        <v>24</v>
      </c>
      <c r="J11" t="s">
        <v>33</v>
      </c>
      <c r="K11" t="s">
        <v>36</v>
      </c>
      <c r="L11" s="5">
        <f t="shared" si="0"/>
        <v>9240</v>
      </c>
    </row>
    <row r="12" spans="1:12" x14ac:dyDescent="0.3">
      <c r="A12">
        <v>11</v>
      </c>
      <c r="B12" s="2">
        <v>45668</v>
      </c>
      <c r="C12" t="s">
        <v>13</v>
      </c>
      <c r="D12" t="s">
        <v>20</v>
      </c>
      <c r="E12">
        <v>8</v>
      </c>
      <c r="F12">
        <v>1800</v>
      </c>
      <c r="G12" s="3">
        <v>0.13</v>
      </c>
      <c r="H12" t="s">
        <v>43</v>
      </c>
      <c r="I12" t="s">
        <v>25</v>
      </c>
      <c r="J12" t="s">
        <v>31</v>
      </c>
      <c r="K12" t="s">
        <v>40</v>
      </c>
      <c r="L12" s="5">
        <f t="shared" si="0"/>
        <v>12528</v>
      </c>
    </row>
    <row r="13" spans="1:12" x14ac:dyDescent="0.3">
      <c r="A13">
        <v>12</v>
      </c>
      <c r="B13" s="2">
        <v>45669</v>
      </c>
      <c r="C13" t="s">
        <v>13</v>
      </c>
      <c r="D13" t="s">
        <v>20</v>
      </c>
      <c r="E13">
        <v>6</v>
      </c>
      <c r="F13">
        <v>1800</v>
      </c>
      <c r="G13" s="3">
        <v>0.06</v>
      </c>
      <c r="H13" t="s">
        <v>46</v>
      </c>
      <c r="I13" t="s">
        <v>26</v>
      </c>
      <c r="J13" t="s">
        <v>31</v>
      </c>
      <c r="K13" t="s">
        <v>36</v>
      </c>
      <c r="L13" s="5">
        <f t="shared" si="0"/>
        <v>10152</v>
      </c>
    </row>
    <row r="14" spans="1:12" x14ac:dyDescent="0.3">
      <c r="A14">
        <v>13</v>
      </c>
      <c r="B14" s="2">
        <v>45670</v>
      </c>
      <c r="C14" t="s">
        <v>12</v>
      </c>
      <c r="D14" t="s">
        <v>19</v>
      </c>
      <c r="E14">
        <v>2</v>
      </c>
      <c r="F14">
        <v>3500</v>
      </c>
      <c r="G14" s="3">
        <v>0.03</v>
      </c>
      <c r="H14" t="s">
        <v>43</v>
      </c>
      <c r="I14" t="s">
        <v>25</v>
      </c>
      <c r="J14" t="s">
        <v>32</v>
      </c>
      <c r="K14" t="s">
        <v>37</v>
      </c>
      <c r="L14" s="5">
        <f t="shared" si="0"/>
        <v>6790</v>
      </c>
    </row>
    <row r="15" spans="1:12" x14ac:dyDescent="0.3">
      <c r="A15">
        <v>14</v>
      </c>
      <c r="B15" s="2">
        <v>45671</v>
      </c>
      <c r="C15" t="s">
        <v>16</v>
      </c>
      <c r="D15" t="s">
        <v>22</v>
      </c>
      <c r="E15">
        <v>7</v>
      </c>
      <c r="F15">
        <v>80</v>
      </c>
      <c r="G15" s="3">
        <v>0.15</v>
      </c>
      <c r="H15" t="s">
        <v>41</v>
      </c>
      <c r="I15" t="s">
        <v>24</v>
      </c>
      <c r="J15" t="s">
        <v>31</v>
      </c>
      <c r="K15" t="s">
        <v>36</v>
      </c>
      <c r="L15" s="5">
        <f t="shared" si="0"/>
        <v>476</v>
      </c>
    </row>
    <row r="16" spans="1:12" x14ac:dyDescent="0.3">
      <c r="A16">
        <v>15</v>
      </c>
      <c r="B16" s="2">
        <v>45672</v>
      </c>
      <c r="C16" t="s">
        <v>13</v>
      </c>
      <c r="D16" t="s">
        <v>20</v>
      </c>
      <c r="E16">
        <v>3</v>
      </c>
      <c r="F16">
        <v>1800</v>
      </c>
      <c r="G16" s="3">
        <v>0.15</v>
      </c>
      <c r="H16" t="s">
        <v>52</v>
      </c>
      <c r="I16" t="s">
        <v>29</v>
      </c>
      <c r="J16" t="s">
        <v>33</v>
      </c>
      <c r="K16" t="s">
        <v>38</v>
      </c>
      <c r="L16" s="5">
        <f t="shared" si="0"/>
        <v>4590</v>
      </c>
    </row>
    <row r="17" spans="1:12" x14ac:dyDescent="0.3">
      <c r="A17">
        <v>16</v>
      </c>
      <c r="B17" s="2">
        <v>45673</v>
      </c>
      <c r="C17" t="s">
        <v>17</v>
      </c>
      <c r="D17" t="s">
        <v>22</v>
      </c>
      <c r="E17">
        <v>8</v>
      </c>
      <c r="F17">
        <v>250</v>
      </c>
      <c r="G17" s="3">
        <v>0.06</v>
      </c>
      <c r="H17" t="s">
        <v>46</v>
      </c>
      <c r="I17" t="s">
        <v>26</v>
      </c>
      <c r="J17" t="s">
        <v>32</v>
      </c>
      <c r="K17" t="s">
        <v>39</v>
      </c>
      <c r="L17" s="5">
        <f t="shared" si="0"/>
        <v>1880</v>
      </c>
    </row>
    <row r="18" spans="1:12" x14ac:dyDescent="0.3">
      <c r="A18">
        <v>17</v>
      </c>
      <c r="B18" s="2">
        <v>45674</v>
      </c>
      <c r="C18" t="s">
        <v>17</v>
      </c>
      <c r="D18" t="s">
        <v>22</v>
      </c>
      <c r="E18">
        <v>8</v>
      </c>
      <c r="F18">
        <v>250</v>
      </c>
      <c r="G18" s="3">
        <v>0.06</v>
      </c>
      <c r="H18" t="s">
        <v>52</v>
      </c>
      <c r="I18" t="s">
        <v>29</v>
      </c>
      <c r="J18" t="s">
        <v>34</v>
      </c>
      <c r="K18" t="s">
        <v>40</v>
      </c>
      <c r="L18" s="5">
        <f t="shared" si="0"/>
        <v>1880</v>
      </c>
    </row>
    <row r="19" spans="1:12" x14ac:dyDescent="0.3">
      <c r="A19">
        <v>18</v>
      </c>
      <c r="B19" s="2">
        <v>45675</v>
      </c>
      <c r="C19" t="s">
        <v>15</v>
      </c>
      <c r="D19" t="s">
        <v>22</v>
      </c>
      <c r="E19">
        <v>10</v>
      </c>
      <c r="F19">
        <v>150</v>
      </c>
      <c r="G19" s="3">
        <v>0.04</v>
      </c>
      <c r="H19" t="s">
        <v>43</v>
      </c>
      <c r="I19" t="s">
        <v>25</v>
      </c>
      <c r="J19" t="s">
        <v>31</v>
      </c>
      <c r="K19" t="s">
        <v>38</v>
      </c>
      <c r="L19" s="5">
        <f t="shared" si="0"/>
        <v>1440</v>
      </c>
    </row>
    <row r="20" spans="1:12" x14ac:dyDescent="0.3">
      <c r="A20">
        <v>19</v>
      </c>
      <c r="B20" s="2">
        <v>45676</v>
      </c>
      <c r="C20" t="s">
        <v>16</v>
      </c>
      <c r="D20" t="s">
        <v>22</v>
      </c>
      <c r="E20">
        <v>4</v>
      </c>
      <c r="F20">
        <v>80</v>
      </c>
      <c r="G20" s="3">
        <v>0.11</v>
      </c>
      <c r="H20" t="s">
        <v>41</v>
      </c>
      <c r="I20" t="s">
        <v>24</v>
      </c>
      <c r="J20" t="s">
        <v>34</v>
      </c>
      <c r="K20" t="s">
        <v>39</v>
      </c>
      <c r="L20" s="5">
        <f t="shared" si="0"/>
        <v>284.8</v>
      </c>
    </row>
    <row r="21" spans="1:12" x14ac:dyDescent="0.3">
      <c r="A21">
        <v>20</v>
      </c>
      <c r="B21" s="2">
        <v>45677</v>
      </c>
      <c r="C21" t="s">
        <v>14</v>
      </c>
      <c r="D21" t="s">
        <v>19</v>
      </c>
      <c r="E21">
        <v>1</v>
      </c>
      <c r="F21">
        <v>1200</v>
      </c>
      <c r="G21" s="3">
        <v>0.12</v>
      </c>
      <c r="H21" t="s">
        <v>50</v>
      </c>
      <c r="I21" t="s">
        <v>28</v>
      </c>
      <c r="J21" t="s">
        <v>34</v>
      </c>
      <c r="K21" t="s">
        <v>40</v>
      </c>
      <c r="L21" s="5">
        <f t="shared" si="0"/>
        <v>1056</v>
      </c>
    </row>
    <row r="22" spans="1:12" x14ac:dyDescent="0.3">
      <c r="A22">
        <v>21</v>
      </c>
      <c r="B22" s="2">
        <v>45678</v>
      </c>
      <c r="C22" t="s">
        <v>15</v>
      </c>
      <c r="D22" t="s">
        <v>22</v>
      </c>
      <c r="E22">
        <v>1</v>
      </c>
      <c r="F22">
        <v>150</v>
      </c>
      <c r="G22" s="3">
        <v>0.14000000000000001</v>
      </c>
      <c r="H22" t="s">
        <v>50</v>
      </c>
      <c r="I22" t="s">
        <v>28</v>
      </c>
      <c r="J22" t="s">
        <v>32</v>
      </c>
      <c r="K22" t="s">
        <v>38</v>
      </c>
      <c r="L22" s="5">
        <f t="shared" si="0"/>
        <v>129</v>
      </c>
    </row>
    <row r="23" spans="1:12" x14ac:dyDescent="0.3">
      <c r="A23">
        <v>22</v>
      </c>
      <c r="B23" s="2">
        <v>45679</v>
      </c>
      <c r="C23" t="s">
        <v>12</v>
      </c>
      <c r="D23" t="s">
        <v>19</v>
      </c>
      <c r="E23">
        <v>9</v>
      </c>
      <c r="F23">
        <v>3500</v>
      </c>
      <c r="G23" s="3">
        <v>0</v>
      </c>
      <c r="H23" t="s">
        <v>44</v>
      </c>
      <c r="I23" t="s">
        <v>25</v>
      </c>
      <c r="J23" t="s">
        <v>34</v>
      </c>
      <c r="K23" t="s">
        <v>39</v>
      </c>
      <c r="L23" s="5">
        <f t="shared" si="0"/>
        <v>31500</v>
      </c>
    </row>
    <row r="24" spans="1:12" x14ac:dyDescent="0.3">
      <c r="A24">
        <v>23</v>
      </c>
      <c r="B24" s="2">
        <v>45680</v>
      </c>
      <c r="C24" t="s">
        <v>17</v>
      </c>
      <c r="D24" t="s">
        <v>22</v>
      </c>
      <c r="E24">
        <v>8</v>
      </c>
      <c r="F24">
        <v>250</v>
      </c>
      <c r="G24" s="3">
        <v>0.08</v>
      </c>
      <c r="H24" t="s">
        <v>48</v>
      </c>
      <c r="I24" t="s">
        <v>27</v>
      </c>
      <c r="J24" t="s">
        <v>34</v>
      </c>
      <c r="K24" t="s">
        <v>38</v>
      </c>
      <c r="L24" s="5">
        <f t="shared" si="0"/>
        <v>1840</v>
      </c>
    </row>
    <row r="25" spans="1:12" x14ac:dyDescent="0.3">
      <c r="A25">
        <v>24</v>
      </c>
      <c r="B25" s="2">
        <v>45681</v>
      </c>
      <c r="C25" t="s">
        <v>17</v>
      </c>
      <c r="D25" t="s">
        <v>22</v>
      </c>
      <c r="E25">
        <v>5</v>
      </c>
      <c r="F25">
        <v>250</v>
      </c>
      <c r="G25" s="3">
        <v>0.08</v>
      </c>
      <c r="H25" t="s">
        <v>44</v>
      </c>
      <c r="I25" t="s">
        <v>25</v>
      </c>
      <c r="J25" t="s">
        <v>32</v>
      </c>
      <c r="K25" t="s">
        <v>39</v>
      </c>
      <c r="L25" s="5">
        <f t="shared" si="0"/>
        <v>1150</v>
      </c>
    </row>
    <row r="26" spans="1:12" x14ac:dyDescent="0.3">
      <c r="A26">
        <v>25</v>
      </c>
      <c r="B26" s="2">
        <v>45682</v>
      </c>
      <c r="C26" t="s">
        <v>13</v>
      </c>
      <c r="D26" t="s">
        <v>20</v>
      </c>
      <c r="E26">
        <v>1</v>
      </c>
      <c r="F26">
        <v>1800</v>
      </c>
      <c r="G26" s="3">
        <v>0.03</v>
      </c>
      <c r="H26" t="s">
        <v>44</v>
      </c>
      <c r="I26" t="s">
        <v>25</v>
      </c>
      <c r="J26" t="s">
        <v>33</v>
      </c>
      <c r="K26" t="s">
        <v>38</v>
      </c>
      <c r="L26" s="5">
        <f t="shared" si="0"/>
        <v>1746</v>
      </c>
    </row>
    <row r="27" spans="1:12" x14ac:dyDescent="0.3">
      <c r="A27">
        <v>26</v>
      </c>
      <c r="B27" s="2">
        <v>45683</v>
      </c>
      <c r="C27" t="s">
        <v>12</v>
      </c>
      <c r="D27" t="s">
        <v>19</v>
      </c>
      <c r="E27">
        <v>8</v>
      </c>
      <c r="F27">
        <v>3500</v>
      </c>
      <c r="G27" s="3">
        <v>0.04</v>
      </c>
      <c r="H27" t="s">
        <v>49</v>
      </c>
      <c r="I27" t="s">
        <v>28</v>
      </c>
      <c r="J27" t="s">
        <v>33</v>
      </c>
      <c r="K27" t="s">
        <v>40</v>
      </c>
      <c r="L27" s="5">
        <f t="shared" si="0"/>
        <v>26880</v>
      </c>
    </row>
    <row r="28" spans="1:12" x14ac:dyDescent="0.3">
      <c r="A28">
        <v>27</v>
      </c>
      <c r="B28" s="2">
        <v>45684</v>
      </c>
      <c r="C28" t="s">
        <v>15</v>
      </c>
      <c r="D28" t="s">
        <v>22</v>
      </c>
      <c r="E28">
        <v>7</v>
      </c>
      <c r="F28">
        <v>150</v>
      </c>
      <c r="G28" s="3">
        <v>0.08</v>
      </c>
      <c r="H28" t="s">
        <v>41</v>
      </c>
      <c r="I28" t="s">
        <v>24</v>
      </c>
      <c r="J28" t="s">
        <v>32</v>
      </c>
      <c r="K28" t="s">
        <v>38</v>
      </c>
      <c r="L28" s="5">
        <f t="shared" si="0"/>
        <v>966</v>
      </c>
    </row>
    <row r="29" spans="1:12" x14ac:dyDescent="0.3">
      <c r="A29">
        <v>28</v>
      </c>
      <c r="B29" s="2">
        <v>45685</v>
      </c>
      <c r="C29" t="s">
        <v>15</v>
      </c>
      <c r="D29" t="s">
        <v>22</v>
      </c>
      <c r="E29">
        <v>10</v>
      </c>
      <c r="F29">
        <v>150</v>
      </c>
      <c r="G29" s="3">
        <v>0.05</v>
      </c>
      <c r="H29" t="s">
        <v>46</v>
      </c>
      <c r="I29" t="s">
        <v>26</v>
      </c>
      <c r="J29" t="s">
        <v>33</v>
      </c>
      <c r="K29" t="s">
        <v>37</v>
      </c>
      <c r="L29" s="5">
        <f t="shared" si="0"/>
        <v>1425</v>
      </c>
    </row>
    <row r="30" spans="1:12" x14ac:dyDescent="0.3">
      <c r="A30">
        <v>29</v>
      </c>
      <c r="B30" s="2">
        <v>45686</v>
      </c>
      <c r="C30" t="s">
        <v>17</v>
      </c>
      <c r="D30" t="s">
        <v>22</v>
      </c>
      <c r="E30">
        <v>6</v>
      </c>
      <c r="F30">
        <v>250</v>
      </c>
      <c r="G30" s="3">
        <v>0.08</v>
      </c>
      <c r="H30" t="s">
        <v>51</v>
      </c>
      <c r="I30" t="s">
        <v>29</v>
      </c>
      <c r="J30" t="s">
        <v>33</v>
      </c>
      <c r="K30" t="s">
        <v>37</v>
      </c>
      <c r="L30" s="5">
        <f t="shared" si="0"/>
        <v>1380</v>
      </c>
    </row>
    <row r="31" spans="1:12" x14ac:dyDescent="0.3">
      <c r="A31">
        <v>30</v>
      </c>
      <c r="B31" s="2">
        <v>45687</v>
      </c>
      <c r="C31" t="s">
        <v>17</v>
      </c>
      <c r="D31" t="s">
        <v>22</v>
      </c>
      <c r="E31">
        <v>1</v>
      </c>
      <c r="F31">
        <v>250</v>
      </c>
      <c r="G31" s="3">
        <v>0.08</v>
      </c>
      <c r="H31" t="s">
        <v>45</v>
      </c>
      <c r="I31" t="s">
        <v>26</v>
      </c>
      <c r="J31" t="s">
        <v>32</v>
      </c>
      <c r="K31" t="s">
        <v>37</v>
      </c>
      <c r="L31" s="5">
        <f t="shared" si="0"/>
        <v>230</v>
      </c>
    </row>
    <row r="32" spans="1:12" x14ac:dyDescent="0.3">
      <c r="A32">
        <v>31</v>
      </c>
      <c r="B32" s="2">
        <v>45688</v>
      </c>
      <c r="C32" t="s">
        <v>15</v>
      </c>
      <c r="D32" t="s">
        <v>22</v>
      </c>
      <c r="E32">
        <v>2</v>
      </c>
      <c r="F32">
        <v>150</v>
      </c>
      <c r="G32" s="3">
        <v>0.14000000000000001</v>
      </c>
      <c r="H32" t="s">
        <v>50</v>
      </c>
      <c r="I32" t="s">
        <v>28</v>
      </c>
      <c r="J32" t="s">
        <v>34</v>
      </c>
      <c r="K32" t="s">
        <v>37</v>
      </c>
      <c r="L32" s="5">
        <f t="shared" si="0"/>
        <v>258</v>
      </c>
    </row>
    <row r="33" spans="1:12" x14ac:dyDescent="0.3">
      <c r="A33">
        <v>32</v>
      </c>
      <c r="B33" s="2">
        <v>45689</v>
      </c>
      <c r="C33" t="s">
        <v>16</v>
      </c>
      <c r="D33" t="s">
        <v>22</v>
      </c>
      <c r="E33">
        <v>4</v>
      </c>
      <c r="F33">
        <v>80</v>
      </c>
      <c r="G33" s="3">
        <v>0.05</v>
      </c>
      <c r="H33" t="s">
        <v>42</v>
      </c>
      <c r="I33" t="s">
        <v>24</v>
      </c>
      <c r="J33" t="s">
        <v>31</v>
      </c>
      <c r="K33" t="s">
        <v>38</v>
      </c>
      <c r="L33" s="5">
        <f t="shared" si="0"/>
        <v>304</v>
      </c>
    </row>
    <row r="34" spans="1:12" x14ac:dyDescent="0.3">
      <c r="A34">
        <v>33</v>
      </c>
      <c r="B34" s="2">
        <v>45690</v>
      </c>
      <c r="C34" t="s">
        <v>13</v>
      </c>
      <c r="D34" t="s">
        <v>20</v>
      </c>
      <c r="E34">
        <v>2</v>
      </c>
      <c r="F34">
        <v>1800</v>
      </c>
      <c r="G34" s="3">
        <v>0</v>
      </c>
      <c r="H34" t="s">
        <v>44</v>
      </c>
      <c r="I34" t="s">
        <v>25</v>
      </c>
      <c r="J34" t="s">
        <v>31</v>
      </c>
      <c r="K34" t="s">
        <v>38</v>
      </c>
      <c r="L34" s="5">
        <f t="shared" ref="L34:L65" si="1">E34*F34*(1-G34)</f>
        <v>3600</v>
      </c>
    </row>
    <row r="35" spans="1:12" x14ac:dyDescent="0.3">
      <c r="A35">
        <v>34</v>
      </c>
      <c r="B35" s="2">
        <v>45691</v>
      </c>
      <c r="C35" t="s">
        <v>17</v>
      </c>
      <c r="D35" t="s">
        <v>22</v>
      </c>
      <c r="E35">
        <v>7</v>
      </c>
      <c r="F35">
        <v>250</v>
      </c>
      <c r="G35" s="3">
        <v>0.02</v>
      </c>
      <c r="H35" t="s">
        <v>41</v>
      </c>
      <c r="I35" t="s">
        <v>24</v>
      </c>
      <c r="J35" t="s">
        <v>34</v>
      </c>
      <c r="K35" t="s">
        <v>39</v>
      </c>
      <c r="L35" s="5">
        <f t="shared" si="1"/>
        <v>1715</v>
      </c>
    </row>
    <row r="36" spans="1:12" x14ac:dyDescent="0.3">
      <c r="A36">
        <v>35</v>
      </c>
      <c r="B36" s="2">
        <v>45692</v>
      </c>
      <c r="C36" t="s">
        <v>15</v>
      </c>
      <c r="D36" t="s">
        <v>22</v>
      </c>
      <c r="E36">
        <v>2</v>
      </c>
      <c r="F36">
        <v>150</v>
      </c>
      <c r="G36" s="3">
        <v>0.01</v>
      </c>
      <c r="H36" t="s">
        <v>42</v>
      </c>
      <c r="I36" t="s">
        <v>24</v>
      </c>
      <c r="J36" t="s">
        <v>34</v>
      </c>
      <c r="K36" t="s">
        <v>37</v>
      </c>
      <c r="L36" s="5">
        <f t="shared" si="1"/>
        <v>297</v>
      </c>
    </row>
    <row r="37" spans="1:12" x14ac:dyDescent="0.3">
      <c r="A37">
        <v>36</v>
      </c>
      <c r="B37" s="2">
        <v>45693</v>
      </c>
      <c r="C37" t="s">
        <v>12</v>
      </c>
      <c r="D37" t="s">
        <v>19</v>
      </c>
      <c r="E37">
        <v>1</v>
      </c>
      <c r="F37">
        <v>3500</v>
      </c>
      <c r="G37" s="3">
        <v>0.15</v>
      </c>
      <c r="H37" t="s">
        <v>49</v>
      </c>
      <c r="I37" t="s">
        <v>28</v>
      </c>
      <c r="J37" t="s">
        <v>32</v>
      </c>
      <c r="K37" t="s">
        <v>38</v>
      </c>
      <c r="L37" s="5">
        <f t="shared" si="1"/>
        <v>2975</v>
      </c>
    </row>
    <row r="38" spans="1:12" x14ac:dyDescent="0.3">
      <c r="A38">
        <v>37</v>
      </c>
      <c r="B38" s="2">
        <v>45694</v>
      </c>
      <c r="C38" t="s">
        <v>12</v>
      </c>
      <c r="D38" t="s">
        <v>19</v>
      </c>
      <c r="E38">
        <v>2</v>
      </c>
      <c r="F38">
        <v>3500</v>
      </c>
      <c r="G38" s="3">
        <v>0.15</v>
      </c>
      <c r="H38" t="s">
        <v>52</v>
      </c>
      <c r="I38" t="s">
        <v>29</v>
      </c>
      <c r="J38" t="s">
        <v>32</v>
      </c>
      <c r="K38" t="s">
        <v>37</v>
      </c>
      <c r="L38" s="5">
        <f t="shared" si="1"/>
        <v>5950</v>
      </c>
    </row>
    <row r="39" spans="1:12" x14ac:dyDescent="0.3">
      <c r="A39">
        <v>38</v>
      </c>
      <c r="B39" s="2">
        <v>45695</v>
      </c>
      <c r="C39" t="s">
        <v>16</v>
      </c>
      <c r="D39" t="s">
        <v>22</v>
      </c>
      <c r="E39">
        <v>1</v>
      </c>
      <c r="F39">
        <v>80</v>
      </c>
      <c r="G39" s="3">
        <v>0.05</v>
      </c>
      <c r="H39" t="s">
        <v>43</v>
      </c>
      <c r="I39" t="s">
        <v>25</v>
      </c>
      <c r="J39" t="s">
        <v>31</v>
      </c>
      <c r="K39" t="s">
        <v>40</v>
      </c>
      <c r="L39" s="5">
        <f t="shared" si="1"/>
        <v>76</v>
      </c>
    </row>
    <row r="40" spans="1:12" x14ac:dyDescent="0.3">
      <c r="A40">
        <v>39</v>
      </c>
      <c r="B40" s="2">
        <v>45696</v>
      </c>
      <c r="C40" t="s">
        <v>12</v>
      </c>
      <c r="D40" t="s">
        <v>19</v>
      </c>
      <c r="E40">
        <v>4</v>
      </c>
      <c r="F40">
        <v>3500</v>
      </c>
      <c r="G40" s="3">
        <v>0.04</v>
      </c>
      <c r="H40" t="s">
        <v>48</v>
      </c>
      <c r="I40" t="s">
        <v>27</v>
      </c>
      <c r="J40" t="s">
        <v>33</v>
      </c>
      <c r="K40" t="s">
        <v>39</v>
      </c>
      <c r="L40" s="5">
        <f t="shared" si="1"/>
        <v>13440</v>
      </c>
    </row>
    <row r="41" spans="1:12" x14ac:dyDescent="0.3">
      <c r="A41">
        <v>40</v>
      </c>
      <c r="B41" s="2">
        <v>45697</v>
      </c>
      <c r="C41" t="s">
        <v>15</v>
      </c>
      <c r="D41" t="s">
        <v>22</v>
      </c>
      <c r="E41">
        <v>8</v>
      </c>
      <c r="F41">
        <v>150</v>
      </c>
      <c r="G41" s="3">
        <v>0.01</v>
      </c>
      <c r="H41" t="s">
        <v>47</v>
      </c>
      <c r="I41" t="s">
        <v>27</v>
      </c>
      <c r="J41" t="s">
        <v>31</v>
      </c>
      <c r="K41" t="s">
        <v>40</v>
      </c>
      <c r="L41" s="5">
        <f t="shared" si="1"/>
        <v>1188</v>
      </c>
    </row>
    <row r="42" spans="1:12" x14ac:dyDescent="0.3">
      <c r="A42">
        <v>41</v>
      </c>
      <c r="B42" s="2">
        <v>45698</v>
      </c>
      <c r="C42" t="s">
        <v>16</v>
      </c>
      <c r="D42" t="s">
        <v>22</v>
      </c>
      <c r="E42">
        <v>6</v>
      </c>
      <c r="F42">
        <v>80</v>
      </c>
      <c r="G42" s="3">
        <v>0.02</v>
      </c>
      <c r="H42" t="s">
        <v>52</v>
      </c>
      <c r="I42" t="s">
        <v>29</v>
      </c>
      <c r="J42" t="s">
        <v>33</v>
      </c>
      <c r="K42" t="s">
        <v>38</v>
      </c>
      <c r="L42" s="5">
        <f t="shared" si="1"/>
        <v>470.4</v>
      </c>
    </row>
    <row r="43" spans="1:12" x14ac:dyDescent="0.3">
      <c r="A43">
        <v>42</v>
      </c>
      <c r="B43" s="2">
        <v>45699</v>
      </c>
      <c r="C43" t="s">
        <v>13</v>
      </c>
      <c r="D43" t="s">
        <v>20</v>
      </c>
      <c r="E43">
        <v>9</v>
      </c>
      <c r="F43">
        <v>1800</v>
      </c>
      <c r="G43" s="3">
        <v>0.04</v>
      </c>
      <c r="H43" t="s">
        <v>47</v>
      </c>
      <c r="I43" t="s">
        <v>27</v>
      </c>
      <c r="J43" t="s">
        <v>34</v>
      </c>
      <c r="K43" t="s">
        <v>37</v>
      </c>
      <c r="L43" s="5">
        <f t="shared" si="1"/>
        <v>15552</v>
      </c>
    </row>
    <row r="44" spans="1:12" x14ac:dyDescent="0.3">
      <c r="A44">
        <v>43</v>
      </c>
      <c r="B44" s="2">
        <v>45700</v>
      </c>
      <c r="C44" t="s">
        <v>17</v>
      </c>
      <c r="D44" t="s">
        <v>22</v>
      </c>
      <c r="E44">
        <v>6</v>
      </c>
      <c r="F44">
        <v>250</v>
      </c>
      <c r="G44" s="3">
        <v>0.09</v>
      </c>
      <c r="H44" t="s">
        <v>49</v>
      </c>
      <c r="I44" t="s">
        <v>28</v>
      </c>
      <c r="J44" t="s">
        <v>34</v>
      </c>
      <c r="K44" t="s">
        <v>40</v>
      </c>
      <c r="L44" s="5">
        <f t="shared" si="1"/>
        <v>1365</v>
      </c>
    </row>
    <row r="45" spans="1:12" x14ac:dyDescent="0.3">
      <c r="A45">
        <v>44</v>
      </c>
      <c r="B45" s="2">
        <v>45701</v>
      </c>
      <c r="C45" t="s">
        <v>13</v>
      </c>
      <c r="D45" t="s">
        <v>20</v>
      </c>
      <c r="E45">
        <v>5</v>
      </c>
      <c r="F45">
        <v>1800</v>
      </c>
      <c r="G45" s="3">
        <v>0.09</v>
      </c>
      <c r="H45" t="s">
        <v>52</v>
      </c>
      <c r="I45" t="s">
        <v>29</v>
      </c>
      <c r="J45" t="s">
        <v>33</v>
      </c>
      <c r="K45" t="s">
        <v>39</v>
      </c>
      <c r="L45" s="5">
        <f t="shared" si="1"/>
        <v>8190</v>
      </c>
    </row>
    <row r="46" spans="1:12" x14ac:dyDescent="0.3">
      <c r="A46">
        <v>45</v>
      </c>
      <c r="B46" s="2">
        <v>45702</v>
      </c>
      <c r="C46" t="s">
        <v>13</v>
      </c>
      <c r="D46" t="s">
        <v>20</v>
      </c>
      <c r="E46">
        <v>1</v>
      </c>
      <c r="F46">
        <v>1800</v>
      </c>
      <c r="G46" s="3">
        <v>0.15</v>
      </c>
      <c r="H46" t="s">
        <v>51</v>
      </c>
      <c r="I46" t="s">
        <v>29</v>
      </c>
      <c r="J46" t="s">
        <v>33</v>
      </c>
      <c r="K46" t="s">
        <v>38</v>
      </c>
      <c r="L46" s="5">
        <f t="shared" si="1"/>
        <v>1530</v>
      </c>
    </row>
    <row r="47" spans="1:12" x14ac:dyDescent="0.3">
      <c r="A47">
        <v>46</v>
      </c>
      <c r="B47" s="2">
        <v>45703</v>
      </c>
      <c r="C47" t="s">
        <v>16</v>
      </c>
      <c r="D47" t="s">
        <v>22</v>
      </c>
      <c r="E47">
        <v>5</v>
      </c>
      <c r="F47">
        <v>80</v>
      </c>
      <c r="G47" s="3">
        <v>0.12</v>
      </c>
      <c r="H47" t="s">
        <v>47</v>
      </c>
      <c r="I47" t="s">
        <v>27</v>
      </c>
      <c r="J47" t="s">
        <v>34</v>
      </c>
      <c r="K47" t="s">
        <v>38</v>
      </c>
      <c r="L47" s="5">
        <f t="shared" si="1"/>
        <v>352</v>
      </c>
    </row>
    <row r="48" spans="1:12" x14ac:dyDescent="0.3">
      <c r="A48">
        <v>47</v>
      </c>
      <c r="B48" s="2">
        <v>45704</v>
      </c>
      <c r="C48" t="s">
        <v>15</v>
      </c>
      <c r="D48" t="s">
        <v>22</v>
      </c>
      <c r="E48">
        <v>10</v>
      </c>
      <c r="F48">
        <v>150</v>
      </c>
      <c r="G48" s="3">
        <v>0</v>
      </c>
      <c r="H48" t="s">
        <v>43</v>
      </c>
      <c r="I48" t="s">
        <v>25</v>
      </c>
      <c r="J48" t="s">
        <v>33</v>
      </c>
      <c r="K48" t="s">
        <v>38</v>
      </c>
      <c r="L48" s="5">
        <f t="shared" si="1"/>
        <v>1500</v>
      </c>
    </row>
    <row r="49" spans="1:12" x14ac:dyDescent="0.3">
      <c r="A49">
        <v>48</v>
      </c>
      <c r="B49" s="2">
        <v>45705</v>
      </c>
      <c r="C49" t="s">
        <v>15</v>
      </c>
      <c r="D49" t="s">
        <v>22</v>
      </c>
      <c r="E49">
        <v>1</v>
      </c>
      <c r="F49">
        <v>150</v>
      </c>
      <c r="G49" s="3">
        <v>0.13</v>
      </c>
      <c r="H49" t="s">
        <v>48</v>
      </c>
      <c r="I49" t="s">
        <v>27</v>
      </c>
      <c r="J49" t="s">
        <v>33</v>
      </c>
      <c r="K49" t="s">
        <v>39</v>
      </c>
      <c r="L49" s="5">
        <f t="shared" si="1"/>
        <v>130.5</v>
      </c>
    </row>
    <row r="50" spans="1:12" x14ac:dyDescent="0.3">
      <c r="A50">
        <v>49</v>
      </c>
      <c r="B50" s="2">
        <v>45706</v>
      </c>
      <c r="C50" t="s">
        <v>12</v>
      </c>
      <c r="D50" t="s">
        <v>19</v>
      </c>
      <c r="E50">
        <v>1</v>
      </c>
      <c r="F50">
        <v>3500</v>
      </c>
      <c r="G50" s="3">
        <v>0.01</v>
      </c>
      <c r="H50" t="s">
        <v>43</v>
      </c>
      <c r="I50" t="s">
        <v>25</v>
      </c>
      <c r="J50" t="s">
        <v>32</v>
      </c>
      <c r="K50" t="s">
        <v>36</v>
      </c>
      <c r="L50" s="5">
        <f t="shared" si="1"/>
        <v>3465</v>
      </c>
    </row>
    <row r="51" spans="1:12" x14ac:dyDescent="0.3">
      <c r="A51">
        <v>50</v>
      </c>
      <c r="B51" s="2">
        <v>45707</v>
      </c>
      <c r="C51" t="s">
        <v>13</v>
      </c>
      <c r="D51" t="s">
        <v>20</v>
      </c>
      <c r="E51">
        <v>5</v>
      </c>
      <c r="F51">
        <v>1800</v>
      </c>
      <c r="G51" s="3">
        <v>7.0000000000000007E-2</v>
      </c>
      <c r="H51" t="s">
        <v>44</v>
      </c>
      <c r="I51" t="s">
        <v>25</v>
      </c>
      <c r="J51" t="s">
        <v>34</v>
      </c>
      <c r="K51" t="s">
        <v>38</v>
      </c>
      <c r="L51" s="5">
        <f t="shared" si="1"/>
        <v>8370</v>
      </c>
    </row>
    <row r="52" spans="1:12" x14ac:dyDescent="0.3">
      <c r="A52">
        <v>51</v>
      </c>
      <c r="B52" s="2">
        <v>45708</v>
      </c>
      <c r="C52" t="s">
        <v>14</v>
      </c>
      <c r="D52" t="s">
        <v>19</v>
      </c>
      <c r="E52">
        <v>4</v>
      </c>
      <c r="F52">
        <v>1200</v>
      </c>
      <c r="G52" s="3">
        <v>0.01</v>
      </c>
      <c r="H52" t="s">
        <v>47</v>
      </c>
      <c r="I52" t="s">
        <v>27</v>
      </c>
      <c r="J52" t="s">
        <v>32</v>
      </c>
      <c r="K52" t="s">
        <v>38</v>
      </c>
      <c r="L52" s="5">
        <f t="shared" si="1"/>
        <v>4752</v>
      </c>
    </row>
    <row r="53" spans="1:12" x14ac:dyDescent="0.3">
      <c r="A53">
        <v>52</v>
      </c>
      <c r="B53" s="2">
        <v>45709</v>
      </c>
      <c r="C53" t="s">
        <v>17</v>
      </c>
      <c r="D53" t="s">
        <v>22</v>
      </c>
      <c r="E53">
        <v>2</v>
      </c>
      <c r="F53">
        <v>250</v>
      </c>
      <c r="G53" s="3">
        <v>0</v>
      </c>
      <c r="H53" t="s">
        <v>47</v>
      </c>
      <c r="I53" t="s">
        <v>27</v>
      </c>
      <c r="J53" t="s">
        <v>32</v>
      </c>
      <c r="K53" t="s">
        <v>38</v>
      </c>
      <c r="L53" s="5">
        <f t="shared" si="1"/>
        <v>500</v>
      </c>
    </row>
    <row r="54" spans="1:12" x14ac:dyDescent="0.3">
      <c r="A54">
        <v>53</v>
      </c>
      <c r="B54" s="2">
        <v>45710</v>
      </c>
      <c r="C54" t="s">
        <v>14</v>
      </c>
      <c r="D54" t="s">
        <v>19</v>
      </c>
      <c r="E54">
        <v>6</v>
      </c>
      <c r="F54">
        <v>1200</v>
      </c>
      <c r="G54" s="3">
        <v>0.04</v>
      </c>
      <c r="H54" t="s">
        <v>52</v>
      </c>
      <c r="I54" t="s">
        <v>29</v>
      </c>
      <c r="J54" t="s">
        <v>32</v>
      </c>
      <c r="K54" t="s">
        <v>38</v>
      </c>
      <c r="L54" s="5">
        <f t="shared" si="1"/>
        <v>6912</v>
      </c>
    </row>
    <row r="55" spans="1:12" x14ac:dyDescent="0.3">
      <c r="A55">
        <v>54</v>
      </c>
      <c r="B55" s="2">
        <v>45711</v>
      </c>
      <c r="C55" t="s">
        <v>12</v>
      </c>
      <c r="D55" t="s">
        <v>19</v>
      </c>
      <c r="E55">
        <v>10</v>
      </c>
      <c r="F55">
        <v>3500</v>
      </c>
      <c r="G55" s="3">
        <v>0.06</v>
      </c>
      <c r="H55" t="s">
        <v>50</v>
      </c>
      <c r="I55" t="s">
        <v>28</v>
      </c>
      <c r="J55" t="s">
        <v>33</v>
      </c>
      <c r="K55" t="s">
        <v>40</v>
      </c>
      <c r="L55" s="5">
        <f t="shared" si="1"/>
        <v>32900</v>
      </c>
    </row>
    <row r="56" spans="1:12" x14ac:dyDescent="0.3">
      <c r="A56">
        <v>55</v>
      </c>
      <c r="B56" s="2">
        <v>45712</v>
      </c>
      <c r="C56" t="s">
        <v>12</v>
      </c>
      <c r="D56" t="s">
        <v>19</v>
      </c>
      <c r="E56">
        <v>5</v>
      </c>
      <c r="F56">
        <v>3500</v>
      </c>
      <c r="G56" s="3">
        <v>0.08</v>
      </c>
      <c r="H56" t="s">
        <v>52</v>
      </c>
      <c r="I56" t="s">
        <v>29</v>
      </c>
      <c r="J56" t="s">
        <v>32</v>
      </c>
      <c r="K56" t="s">
        <v>37</v>
      </c>
      <c r="L56" s="5">
        <f t="shared" si="1"/>
        <v>16100</v>
      </c>
    </row>
    <row r="57" spans="1:12" x14ac:dyDescent="0.3">
      <c r="A57">
        <v>56</v>
      </c>
      <c r="B57" s="2">
        <v>45713</v>
      </c>
      <c r="C57" t="s">
        <v>16</v>
      </c>
      <c r="D57" t="s">
        <v>22</v>
      </c>
      <c r="E57">
        <v>2</v>
      </c>
      <c r="F57">
        <v>80</v>
      </c>
      <c r="G57" s="3">
        <v>0.09</v>
      </c>
      <c r="H57" t="s">
        <v>48</v>
      </c>
      <c r="I57" t="s">
        <v>27</v>
      </c>
      <c r="J57" t="s">
        <v>34</v>
      </c>
      <c r="K57" t="s">
        <v>37</v>
      </c>
      <c r="L57" s="5">
        <f t="shared" si="1"/>
        <v>145.6</v>
      </c>
    </row>
    <row r="58" spans="1:12" x14ac:dyDescent="0.3">
      <c r="A58">
        <v>57</v>
      </c>
      <c r="B58" s="2">
        <v>45714</v>
      </c>
      <c r="C58" t="s">
        <v>13</v>
      </c>
      <c r="D58" t="s">
        <v>20</v>
      </c>
      <c r="E58">
        <v>5</v>
      </c>
      <c r="F58">
        <v>1800</v>
      </c>
      <c r="G58" s="3">
        <v>0.1</v>
      </c>
      <c r="H58" t="s">
        <v>41</v>
      </c>
      <c r="I58" t="s">
        <v>24</v>
      </c>
      <c r="J58" t="s">
        <v>34</v>
      </c>
      <c r="K58" t="s">
        <v>40</v>
      </c>
      <c r="L58" s="5">
        <f t="shared" si="1"/>
        <v>8100</v>
      </c>
    </row>
    <row r="59" spans="1:12" x14ac:dyDescent="0.3">
      <c r="A59">
        <v>58</v>
      </c>
      <c r="B59" s="2">
        <v>45715</v>
      </c>
      <c r="C59" t="s">
        <v>16</v>
      </c>
      <c r="D59" t="s">
        <v>22</v>
      </c>
      <c r="E59">
        <v>7</v>
      </c>
      <c r="F59">
        <v>80</v>
      </c>
      <c r="G59" s="3">
        <v>0.14000000000000001</v>
      </c>
      <c r="H59" t="s">
        <v>45</v>
      </c>
      <c r="I59" t="s">
        <v>26</v>
      </c>
      <c r="J59" t="s">
        <v>33</v>
      </c>
      <c r="K59" t="s">
        <v>37</v>
      </c>
      <c r="L59" s="5">
        <f t="shared" si="1"/>
        <v>481.59999999999997</v>
      </c>
    </row>
    <row r="60" spans="1:12" x14ac:dyDescent="0.3">
      <c r="A60">
        <v>59</v>
      </c>
      <c r="B60" s="2">
        <v>45716</v>
      </c>
      <c r="C60" t="s">
        <v>14</v>
      </c>
      <c r="D60" t="s">
        <v>19</v>
      </c>
      <c r="E60">
        <v>9</v>
      </c>
      <c r="F60">
        <v>1200</v>
      </c>
      <c r="G60" s="3">
        <v>0.04</v>
      </c>
      <c r="H60" t="s">
        <v>44</v>
      </c>
      <c r="I60" t="s">
        <v>25</v>
      </c>
      <c r="J60" t="s">
        <v>31</v>
      </c>
      <c r="K60" t="s">
        <v>39</v>
      </c>
      <c r="L60" s="5">
        <f t="shared" si="1"/>
        <v>10368</v>
      </c>
    </row>
    <row r="61" spans="1:12" x14ac:dyDescent="0.3">
      <c r="A61">
        <v>60</v>
      </c>
      <c r="B61" s="2">
        <v>45717</v>
      </c>
      <c r="C61" t="s">
        <v>12</v>
      </c>
      <c r="D61" t="s">
        <v>19</v>
      </c>
      <c r="E61">
        <v>4</v>
      </c>
      <c r="F61">
        <v>3500</v>
      </c>
      <c r="G61" s="3">
        <v>0.13</v>
      </c>
      <c r="H61" t="s">
        <v>49</v>
      </c>
      <c r="I61" t="s">
        <v>28</v>
      </c>
      <c r="J61" t="s">
        <v>32</v>
      </c>
      <c r="K61" t="s">
        <v>37</v>
      </c>
      <c r="L61" s="5">
        <f t="shared" si="1"/>
        <v>12180</v>
      </c>
    </row>
    <row r="62" spans="1:12" x14ac:dyDescent="0.3">
      <c r="A62">
        <v>61</v>
      </c>
      <c r="B62" s="2">
        <v>45718</v>
      </c>
      <c r="C62" t="s">
        <v>17</v>
      </c>
      <c r="D62" t="s">
        <v>22</v>
      </c>
      <c r="E62">
        <v>3</v>
      </c>
      <c r="F62">
        <v>250</v>
      </c>
      <c r="G62" s="3">
        <v>0.01</v>
      </c>
      <c r="H62" t="s">
        <v>45</v>
      </c>
      <c r="I62" t="s">
        <v>26</v>
      </c>
      <c r="J62" t="s">
        <v>32</v>
      </c>
      <c r="K62" t="s">
        <v>38</v>
      </c>
      <c r="L62" s="5">
        <f t="shared" si="1"/>
        <v>742.5</v>
      </c>
    </row>
    <row r="63" spans="1:12" x14ac:dyDescent="0.3">
      <c r="A63">
        <v>62</v>
      </c>
      <c r="B63" s="2">
        <v>45719</v>
      </c>
      <c r="C63" t="s">
        <v>12</v>
      </c>
      <c r="D63" t="s">
        <v>19</v>
      </c>
      <c r="E63">
        <v>6</v>
      </c>
      <c r="F63">
        <v>3500</v>
      </c>
      <c r="G63" s="3">
        <v>0</v>
      </c>
      <c r="H63" t="s">
        <v>47</v>
      </c>
      <c r="I63" t="s">
        <v>27</v>
      </c>
      <c r="J63" t="s">
        <v>33</v>
      </c>
      <c r="K63" t="s">
        <v>40</v>
      </c>
      <c r="L63" s="5">
        <f t="shared" si="1"/>
        <v>21000</v>
      </c>
    </row>
    <row r="64" spans="1:12" x14ac:dyDescent="0.3">
      <c r="A64">
        <v>63</v>
      </c>
      <c r="B64" s="2">
        <v>45720</v>
      </c>
      <c r="C64" t="s">
        <v>13</v>
      </c>
      <c r="D64" t="s">
        <v>20</v>
      </c>
      <c r="E64">
        <v>7</v>
      </c>
      <c r="F64">
        <v>1800</v>
      </c>
      <c r="G64" s="3">
        <v>0.03</v>
      </c>
      <c r="H64" t="s">
        <v>42</v>
      </c>
      <c r="I64" t="s">
        <v>24</v>
      </c>
      <c r="J64" t="s">
        <v>33</v>
      </c>
      <c r="K64" t="s">
        <v>40</v>
      </c>
      <c r="L64" s="5">
        <f t="shared" si="1"/>
        <v>12222</v>
      </c>
    </row>
    <row r="65" spans="1:12" x14ac:dyDescent="0.3">
      <c r="A65">
        <v>64</v>
      </c>
      <c r="B65" s="2">
        <v>45721</v>
      </c>
      <c r="C65" t="s">
        <v>15</v>
      </c>
      <c r="D65" t="s">
        <v>22</v>
      </c>
      <c r="E65">
        <v>9</v>
      </c>
      <c r="F65">
        <v>150</v>
      </c>
      <c r="G65" s="3">
        <v>0.01</v>
      </c>
      <c r="H65" t="s">
        <v>42</v>
      </c>
      <c r="I65" t="s">
        <v>24</v>
      </c>
      <c r="J65" t="s">
        <v>34</v>
      </c>
      <c r="K65" t="s">
        <v>36</v>
      </c>
      <c r="L65" s="5">
        <f t="shared" si="1"/>
        <v>1336.5</v>
      </c>
    </row>
    <row r="66" spans="1:12" x14ac:dyDescent="0.3">
      <c r="A66">
        <v>65</v>
      </c>
      <c r="B66" s="2">
        <v>45722</v>
      </c>
      <c r="C66" t="s">
        <v>15</v>
      </c>
      <c r="D66" t="s">
        <v>22</v>
      </c>
      <c r="E66">
        <v>9</v>
      </c>
      <c r="F66">
        <v>150</v>
      </c>
      <c r="G66" s="3">
        <v>0.15</v>
      </c>
      <c r="H66" t="s">
        <v>51</v>
      </c>
      <c r="I66" t="s">
        <v>29</v>
      </c>
      <c r="J66" t="s">
        <v>34</v>
      </c>
      <c r="K66" t="s">
        <v>36</v>
      </c>
      <c r="L66" s="5">
        <f t="shared" ref="L66:L101" si="2">E66*F66*(1-G66)</f>
        <v>1147.5</v>
      </c>
    </row>
    <row r="67" spans="1:12" x14ac:dyDescent="0.3">
      <c r="A67">
        <v>66</v>
      </c>
      <c r="B67" s="2">
        <v>45723</v>
      </c>
      <c r="C67" t="s">
        <v>15</v>
      </c>
      <c r="D67" t="s">
        <v>22</v>
      </c>
      <c r="E67">
        <v>1</v>
      </c>
      <c r="F67">
        <v>150</v>
      </c>
      <c r="G67" s="3">
        <v>0.03</v>
      </c>
      <c r="H67" t="s">
        <v>41</v>
      </c>
      <c r="I67" t="s">
        <v>24</v>
      </c>
      <c r="J67" t="s">
        <v>33</v>
      </c>
      <c r="K67" t="s">
        <v>38</v>
      </c>
      <c r="L67" s="5">
        <f t="shared" si="2"/>
        <v>145.5</v>
      </c>
    </row>
    <row r="68" spans="1:12" x14ac:dyDescent="0.3">
      <c r="A68">
        <v>67</v>
      </c>
      <c r="B68" s="2">
        <v>45724</v>
      </c>
      <c r="C68" t="s">
        <v>15</v>
      </c>
      <c r="D68" t="s">
        <v>22</v>
      </c>
      <c r="E68">
        <v>10</v>
      </c>
      <c r="F68">
        <v>150</v>
      </c>
      <c r="G68" s="3">
        <v>0.15</v>
      </c>
      <c r="H68" t="s">
        <v>44</v>
      </c>
      <c r="I68" t="s">
        <v>25</v>
      </c>
      <c r="J68" t="s">
        <v>32</v>
      </c>
      <c r="K68" t="s">
        <v>38</v>
      </c>
      <c r="L68" s="5">
        <f t="shared" si="2"/>
        <v>1275</v>
      </c>
    </row>
    <row r="69" spans="1:12" x14ac:dyDescent="0.3">
      <c r="A69">
        <v>68</v>
      </c>
      <c r="B69" s="2">
        <v>45725</v>
      </c>
      <c r="C69" t="s">
        <v>15</v>
      </c>
      <c r="D69" t="s">
        <v>22</v>
      </c>
      <c r="E69">
        <v>4</v>
      </c>
      <c r="F69">
        <v>150</v>
      </c>
      <c r="G69" s="3">
        <v>0</v>
      </c>
      <c r="H69" t="s">
        <v>48</v>
      </c>
      <c r="I69" t="s">
        <v>27</v>
      </c>
      <c r="J69" t="s">
        <v>33</v>
      </c>
      <c r="K69" t="s">
        <v>39</v>
      </c>
      <c r="L69" s="5">
        <f t="shared" si="2"/>
        <v>600</v>
      </c>
    </row>
    <row r="70" spans="1:12" x14ac:dyDescent="0.3">
      <c r="A70">
        <v>69</v>
      </c>
      <c r="B70" s="2">
        <v>45726</v>
      </c>
      <c r="C70" t="s">
        <v>15</v>
      </c>
      <c r="D70" t="s">
        <v>22</v>
      </c>
      <c r="E70">
        <v>2</v>
      </c>
      <c r="F70">
        <v>150</v>
      </c>
      <c r="G70" s="3">
        <v>0.13</v>
      </c>
      <c r="H70" t="s">
        <v>47</v>
      </c>
      <c r="I70" t="s">
        <v>27</v>
      </c>
      <c r="J70" t="s">
        <v>31</v>
      </c>
      <c r="K70" t="s">
        <v>38</v>
      </c>
      <c r="L70" s="5">
        <f t="shared" si="2"/>
        <v>261</v>
      </c>
    </row>
    <row r="71" spans="1:12" x14ac:dyDescent="0.3">
      <c r="A71">
        <v>70</v>
      </c>
      <c r="B71" s="2">
        <v>45727</v>
      </c>
      <c r="C71" t="s">
        <v>15</v>
      </c>
      <c r="D71" t="s">
        <v>22</v>
      </c>
      <c r="E71">
        <v>4</v>
      </c>
      <c r="F71">
        <v>150</v>
      </c>
      <c r="G71" s="3">
        <v>0.03</v>
      </c>
      <c r="H71" t="s">
        <v>47</v>
      </c>
      <c r="I71" t="s">
        <v>27</v>
      </c>
      <c r="J71" t="s">
        <v>32</v>
      </c>
      <c r="K71" t="s">
        <v>38</v>
      </c>
      <c r="L71" s="5">
        <f t="shared" si="2"/>
        <v>582</v>
      </c>
    </row>
    <row r="72" spans="1:12" x14ac:dyDescent="0.3">
      <c r="A72">
        <v>71</v>
      </c>
      <c r="B72" s="2">
        <v>45728</v>
      </c>
      <c r="C72" t="s">
        <v>12</v>
      </c>
      <c r="D72" t="s">
        <v>19</v>
      </c>
      <c r="E72">
        <v>9</v>
      </c>
      <c r="F72">
        <v>3500</v>
      </c>
      <c r="G72" s="3">
        <v>7.0000000000000007E-2</v>
      </c>
      <c r="H72" t="s">
        <v>46</v>
      </c>
      <c r="I72" t="s">
        <v>26</v>
      </c>
      <c r="J72" t="s">
        <v>33</v>
      </c>
      <c r="K72" t="s">
        <v>38</v>
      </c>
      <c r="L72" s="5">
        <f t="shared" si="2"/>
        <v>29294.999999999996</v>
      </c>
    </row>
    <row r="73" spans="1:12" x14ac:dyDescent="0.3">
      <c r="A73">
        <v>72</v>
      </c>
      <c r="B73" s="2">
        <v>45729</v>
      </c>
      <c r="C73" t="s">
        <v>16</v>
      </c>
      <c r="D73" t="s">
        <v>22</v>
      </c>
      <c r="E73">
        <v>6</v>
      </c>
      <c r="F73">
        <v>80</v>
      </c>
      <c r="G73" s="3">
        <v>0.12</v>
      </c>
      <c r="H73" t="s">
        <v>45</v>
      </c>
      <c r="I73" t="s">
        <v>26</v>
      </c>
      <c r="J73" t="s">
        <v>34</v>
      </c>
      <c r="K73" t="s">
        <v>37</v>
      </c>
      <c r="L73" s="5">
        <f t="shared" si="2"/>
        <v>422.4</v>
      </c>
    </row>
    <row r="74" spans="1:12" x14ac:dyDescent="0.3">
      <c r="A74">
        <v>73</v>
      </c>
      <c r="B74" s="2">
        <v>45730</v>
      </c>
      <c r="C74" t="s">
        <v>14</v>
      </c>
      <c r="D74" t="s">
        <v>19</v>
      </c>
      <c r="E74">
        <v>3</v>
      </c>
      <c r="F74">
        <v>1200</v>
      </c>
      <c r="G74" s="3">
        <v>0.01</v>
      </c>
      <c r="H74" t="s">
        <v>46</v>
      </c>
      <c r="I74" t="s">
        <v>26</v>
      </c>
      <c r="J74" t="s">
        <v>32</v>
      </c>
      <c r="K74" t="s">
        <v>40</v>
      </c>
      <c r="L74" s="5">
        <f t="shared" si="2"/>
        <v>3564</v>
      </c>
    </row>
    <row r="75" spans="1:12" x14ac:dyDescent="0.3">
      <c r="A75">
        <v>74</v>
      </c>
      <c r="B75" s="2">
        <v>45731</v>
      </c>
      <c r="C75" t="s">
        <v>15</v>
      </c>
      <c r="D75" t="s">
        <v>22</v>
      </c>
      <c r="E75">
        <v>1</v>
      </c>
      <c r="F75">
        <v>150</v>
      </c>
      <c r="G75" s="3">
        <v>0.01</v>
      </c>
      <c r="H75" t="s">
        <v>48</v>
      </c>
      <c r="I75" t="s">
        <v>27</v>
      </c>
      <c r="J75" t="s">
        <v>33</v>
      </c>
      <c r="K75" t="s">
        <v>39</v>
      </c>
      <c r="L75" s="5">
        <f t="shared" si="2"/>
        <v>148.5</v>
      </c>
    </row>
    <row r="76" spans="1:12" x14ac:dyDescent="0.3">
      <c r="A76">
        <v>75</v>
      </c>
      <c r="B76" s="2">
        <v>45732</v>
      </c>
      <c r="C76" t="s">
        <v>15</v>
      </c>
      <c r="D76" t="s">
        <v>22</v>
      </c>
      <c r="E76">
        <v>1</v>
      </c>
      <c r="F76">
        <v>150</v>
      </c>
      <c r="G76" s="3">
        <v>0.1</v>
      </c>
      <c r="H76" t="s">
        <v>43</v>
      </c>
      <c r="I76" t="s">
        <v>25</v>
      </c>
      <c r="J76" t="s">
        <v>31</v>
      </c>
      <c r="K76" t="s">
        <v>36</v>
      </c>
      <c r="L76" s="5">
        <f t="shared" si="2"/>
        <v>135</v>
      </c>
    </row>
    <row r="77" spans="1:12" x14ac:dyDescent="0.3">
      <c r="A77">
        <v>76</v>
      </c>
      <c r="B77" s="2">
        <v>45733</v>
      </c>
      <c r="C77" t="s">
        <v>17</v>
      </c>
      <c r="D77" t="s">
        <v>22</v>
      </c>
      <c r="E77">
        <v>1</v>
      </c>
      <c r="F77">
        <v>250</v>
      </c>
      <c r="G77" s="3">
        <v>0.04</v>
      </c>
      <c r="H77" t="s">
        <v>48</v>
      </c>
      <c r="I77" t="s">
        <v>27</v>
      </c>
      <c r="J77" t="s">
        <v>33</v>
      </c>
      <c r="K77" t="s">
        <v>37</v>
      </c>
      <c r="L77" s="5">
        <f t="shared" si="2"/>
        <v>240</v>
      </c>
    </row>
    <row r="78" spans="1:12" x14ac:dyDescent="0.3">
      <c r="A78">
        <v>77</v>
      </c>
      <c r="B78" s="2">
        <v>45734</v>
      </c>
      <c r="C78" t="s">
        <v>13</v>
      </c>
      <c r="D78" t="s">
        <v>20</v>
      </c>
      <c r="E78">
        <v>8</v>
      </c>
      <c r="F78">
        <v>1800</v>
      </c>
      <c r="G78" s="3">
        <v>0.01</v>
      </c>
      <c r="H78" t="s">
        <v>52</v>
      </c>
      <c r="I78" t="s">
        <v>29</v>
      </c>
      <c r="J78" t="s">
        <v>32</v>
      </c>
      <c r="K78" t="s">
        <v>36</v>
      </c>
      <c r="L78" s="5">
        <f t="shared" si="2"/>
        <v>14256</v>
      </c>
    </row>
    <row r="79" spans="1:12" x14ac:dyDescent="0.3">
      <c r="A79">
        <v>78</v>
      </c>
      <c r="B79" s="2">
        <v>45735</v>
      </c>
      <c r="C79" t="s">
        <v>13</v>
      </c>
      <c r="D79" t="s">
        <v>20</v>
      </c>
      <c r="E79">
        <v>6</v>
      </c>
      <c r="F79">
        <v>1800</v>
      </c>
      <c r="G79" s="3">
        <v>0.1</v>
      </c>
      <c r="H79" t="s">
        <v>49</v>
      </c>
      <c r="I79" t="s">
        <v>28</v>
      </c>
      <c r="J79" t="s">
        <v>34</v>
      </c>
      <c r="K79" t="s">
        <v>37</v>
      </c>
      <c r="L79" s="5">
        <f t="shared" si="2"/>
        <v>9720</v>
      </c>
    </row>
    <row r="80" spans="1:12" x14ac:dyDescent="0.3">
      <c r="A80">
        <v>79</v>
      </c>
      <c r="B80" s="2">
        <v>45736</v>
      </c>
      <c r="C80" t="s">
        <v>13</v>
      </c>
      <c r="D80" t="s">
        <v>20</v>
      </c>
      <c r="E80">
        <v>3</v>
      </c>
      <c r="F80">
        <v>1800</v>
      </c>
      <c r="G80" s="3">
        <v>0.1</v>
      </c>
      <c r="H80" t="s">
        <v>50</v>
      </c>
      <c r="I80" t="s">
        <v>28</v>
      </c>
      <c r="J80" t="s">
        <v>31</v>
      </c>
      <c r="K80" t="s">
        <v>37</v>
      </c>
      <c r="L80" s="5">
        <f t="shared" si="2"/>
        <v>4860</v>
      </c>
    </row>
    <row r="81" spans="1:12" x14ac:dyDescent="0.3">
      <c r="A81">
        <v>80</v>
      </c>
      <c r="B81" s="2">
        <v>45737</v>
      </c>
      <c r="C81" t="s">
        <v>12</v>
      </c>
      <c r="D81" t="s">
        <v>19</v>
      </c>
      <c r="E81">
        <v>9</v>
      </c>
      <c r="F81">
        <v>3500</v>
      </c>
      <c r="G81" s="3">
        <v>0.14000000000000001</v>
      </c>
      <c r="H81" t="s">
        <v>48</v>
      </c>
      <c r="I81" t="s">
        <v>27</v>
      </c>
      <c r="J81" t="s">
        <v>31</v>
      </c>
      <c r="K81" t="s">
        <v>36</v>
      </c>
      <c r="L81" s="5">
        <f t="shared" si="2"/>
        <v>27090</v>
      </c>
    </row>
    <row r="82" spans="1:12" x14ac:dyDescent="0.3">
      <c r="A82">
        <v>81</v>
      </c>
      <c r="B82" s="2">
        <v>45738</v>
      </c>
      <c r="C82" t="s">
        <v>16</v>
      </c>
      <c r="D82" t="s">
        <v>22</v>
      </c>
      <c r="E82">
        <v>9</v>
      </c>
      <c r="F82">
        <v>80</v>
      </c>
      <c r="G82" s="3">
        <v>0.04</v>
      </c>
      <c r="H82" t="s">
        <v>48</v>
      </c>
      <c r="I82" t="s">
        <v>27</v>
      </c>
      <c r="J82" t="s">
        <v>33</v>
      </c>
      <c r="K82" t="s">
        <v>36</v>
      </c>
      <c r="L82" s="5">
        <f t="shared" si="2"/>
        <v>691.19999999999993</v>
      </c>
    </row>
    <row r="83" spans="1:12" x14ac:dyDescent="0.3">
      <c r="A83">
        <v>82</v>
      </c>
      <c r="B83" s="2">
        <v>45739</v>
      </c>
      <c r="C83" t="s">
        <v>14</v>
      </c>
      <c r="D83" t="s">
        <v>19</v>
      </c>
      <c r="E83">
        <v>3</v>
      </c>
      <c r="F83">
        <v>1200</v>
      </c>
      <c r="G83" s="3">
        <v>0.04</v>
      </c>
      <c r="H83" t="s">
        <v>41</v>
      </c>
      <c r="I83" t="s">
        <v>24</v>
      </c>
      <c r="J83" t="s">
        <v>31</v>
      </c>
      <c r="K83" t="s">
        <v>36</v>
      </c>
      <c r="L83" s="5">
        <f t="shared" si="2"/>
        <v>3456</v>
      </c>
    </row>
    <row r="84" spans="1:12" x14ac:dyDescent="0.3">
      <c r="A84">
        <v>83</v>
      </c>
      <c r="B84" s="2">
        <v>45740</v>
      </c>
      <c r="C84" t="s">
        <v>14</v>
      </c>
      <c r="D84" t="s">
        <v>19</v>
      </c>
      <c r="E84">
        <v>6</v>
      </c>
      <c r="F84">
        <v>1200</v>
      </c>
      <c r="G84" s="3">
        <v>0.12</v>
      </c>
      <c r="H84" t="s">
        <v>45</v>
      </c>
      <c r="I84" t="s">
        <v>26</v>
      </c>
      <c r="J84" t="s">
        <v>33</v>
      </c>
      <c r="K84" t="s">
        <v>38</v>
      </c>
      <c r="L84" s="5">
        <f t="shared" si="2"/>
        <v>6336</v>
      </c>
    </row>
    <row r="85" spans="1:12" x14ac:dyDescent="0.3">
      <c r="A85">
        <v>84</v>
      </c>
      <c r="B85" s="2">
        <v>45741</v>
      </c>
      <c r="C85" t="s">
        <v>17</v>
      </c>
      <c r="D85" t="s">
        <v>22</v>
      </c>
      <c r="E85">
        <v>9</v>
      </c>
      <c r="F85">
        <v>250</v>
      </c>
      <c r="G85" s="3">
        <v>0.02</v>
      </c>
      <c r="H85" t="s">
        <v>48</v>
      </c>
      <c r="I85" t="s">
        <v>27</v>
      </c>
      <c r="J85" t="s">
        <v>34</v>
      </c>
      <c r="K85" t="s">
        <v>37</v>
      </c>
      <c r="L85" s="5">
        <f t="shared" si="2"/>
        <v>2205</v>
      </c>
    </row>
    <row r="86" spans="1:12" x14ac:dyDescent="0.3">
      <c r="A86">
        <v>85</v>
      </c>
      <c r="B86" s="2">
        <v>45742</v>
      </c>
      <c r="C86" t="s">
        <v>14</v>
      </c>
      <c r="D86" t="s">
        <v>19</v>
      </c>
      <c r="E86">
        <v>7</v>
      </c>
      <c r="F86">
        <v>1200</v>
      </c>
      <c r="G86" s="3">
        <v>0.14000000000000001</v>
      </c>
      <c r="H86" t="s">
        <v>46</v>
      </c>
      <c r="I86" t="s">
        <v>26</v>
      </c>
      <c r="J86" t="s">
        <v>34</v>
      </c>
      <c r="K86" t="s">
        <v>38</v>
      </c>
      <c r="L86" s="5">
        <f t="shared" si="2"/>
        <v>7224</v>
      </c>
    </row>
    <row r="87" spans="1:12" x14ac:dyDescent="0.3">
      <c r="A87">
        <v>86</v>
      </c>
      <c r="B87" s="2">
        <v>45743</v>
      </c>
      <c r="C87" t="s">
        <v>12</v>
      </c>
      <c r="D87" t="s">
        <v>19</v>
      </c>
      <c r="E87">
        <v>1</v>
      </c>
      <c r="F87">
        <v>3500</v>
      </c>
      <c r="G87" s="3">
        <v>0.01</v>
      </c>
      <c r="H87" t="s">
        <v>49</v>
      </c>
      <c r="I87" t="s">
        <v>28</v>
      </c>
      <c r="J87" t="s">
        <v>32</v>
      </c>
      <c r="K87" t="s">
        <v>36</v>
      </c>
      <c r="L87" s="5">
        <f t="shared" si="2"/>
        <v>3465</v>
      </c>
    </row>
    <row r="88" spans="1:12" x14ac:dyDescent="0.3">
      <c r="A88">
        <v>87</v>
      </c>
      <c r="B88" s="2">
        <v>45744</v>
      </c>
      <c r="C88" t="s">
        <v>13</v>
      </c>
      <c r="D88" t="s">
        <v>20</v>
      </c>
      <c r="E88">
        <v>6</v>
      </c>
      <c r="F88">
        <v>1800</v>
      </c>
      <c r="G88" s="3">
        <v>0</v>
      </c>
      <c r="H88" t="s">
        <v>48</v>
      </c>
      <c r="I88" t="s">
        <v>27</v>
      </c>
      <c r="J88" t="s">
        <v>34</v>
      </c>
      <c r="K88" t="s">
        <v>37</v>
      </c>
      <c r="L88" s="5">
        <f t="shared" si="2"/>
        <v>10800</v>
      </c>
    </row>
    <row r="89" spans="1:12" x14ac:dyDescent="0.3">
      <c r="A89">
        <v>88</v>
      </c>
      <c r="B89" s="2">
        <v>45745</v>
      </c>
      <c r="C89" t="s">
        <v>16</v>
      </c>
      <c r="D89" t="s">
        <v>22</v>
      </c>
      <c r="E89">
        <v>8</v>
      </c>
      <c r="F89">
        <v>80</v>
      </c>
      <c r="G89" s="3">
        <v>0.11</v>
      </c>
      <c r="H89" t="s">
        <v>45</v>
      </c>
      <c r="I89" t="s">
        <v>26</v>
      </c>
      <c r="J89" t="s">
        <v>32</v>
      </c>
      <c r="K89" t="s">
        <v>36</v>
      </c>
      <c r="L89" s="5">
        <f t="shared" si="2"/>
        <v>569.6</v>
      </c>
    </row>
    <row r="90" spans="1:12" x14ac:dyDescent="0.3">
      <c r="A90">
        <v>89</v>
      </c>
      <c r="B90" s="2">
        <v>45746</v>
      </c>
      <c r="C90" t="s">
        <v>13</v>
      </c>
      <c r="D90" t="s">
        <v>20</v>
      </c>
      <c r="E90">
        <v>3</v>
      </c>
      <c r="F90">
        <v>1800</v>
      </c>
      <c r="G90" s="3">
        <v>0.09</v>
      </c>
      <c r="H90" t="s">
        <v>51</v>
      </c>
      <c r="I90" t="s">
        <v>29</v>
      </c>
      <c r="J90" t="s">
        <v>32</v>
      </c>
      <c r="K90" t="s">
        <v>40</v>
      </c>
      <c r="L90" s="5">
        <f t="shared" si="2"/>
        <v>4914</v>
      </c>
    </row>
    <row r="91" spans="1:12" x14ac:dyDescent="0.3">
      <c r="A91">
        <v>90</v>
      </c>
      <c r="B91" s="2">
        <v>45747</v>
      </c>
      <c r="C91" t="s">
        <v>17</v>
      </c>
      <c r="D91" t="s">
        <v>22</v>
      </c>
      <c r="E91">
        <v>6</v>
      </c>
      <c r="F91">
        <v>250</v>
      </c>
      <c r="G91" s="3">
        <v>0.15</v>
      </c>
      <c r="H91" t="s">
        <v>43</v>
      </c>
      <c r="I91" t="s">
        <v>25</v>
      </c>
      <c r="J91" t="s">
        <v>32</v>
      </c>
      <c r="K91" t="s">
        <v>39</v>
      </c>
      <c r="L91" s="5">
        <f t="shared" si="2"/>
        <v>1275</v>
      </c>
    </row>
    <row r="92" spans="1:12" x14ac:dyDescent="0.3">
      <c r="A92">
        <v>91</v>
      </c>
      <c r="B92" s="2">
        <v>45748</v>
      </c>
      <c r="C92" t="s">
        <v>16</v>
      </c>
      <c r="D92" t="s">
        <v>22</v>
      </c>
      <c r="E92">
        <v>2</v>
      </c>
      <c r="F92">
        <v>80</v>
      </c>
      <c r="G92" s="3">
        <v>0.02</v>
      </c>
      <c r="H92" t="s">
        <v>44</v>
      </c>
      <c r="I92" t="s">
        <v>25</v>
      </c>
      <c r="J92" t="s">
        <v>34</v>
      </c>
      <c r="K92" t="s">
        <v>40</v>
      </c>
      <c r="L92" s="5">
        <f t="shared" si="2"/>
        <v>156.80000000000001</v>
      </c>
    </row>
    <row r="93" spans="1:12" x14ac:dyDescent="0.3">
      <c r="A93">
        <v>92</v>
      </c>
      <c r="B93" s="2">
        <v>45749</v>
      </c>
      <c r="C93" t="s">
        <v>17</v>
      </c>
      <c r="D93" t="s">
        <v>22</v>
      </c>
      <c r="E93">
        <v>10</v>
      </c>
      <c r="F93">
        <v>250</v>
      </c>
      <c r="G93" s="3">
        <v>7.0000000000000007E-2</v>
      </c>
      <c r="H93" t="s">
        <v>47</v>
      </c>
      <c r="I93" t="s">
        <v>27</v>
      </c>
      <c r="J93" t="s">
        <v>31</v>
      </c>
      <c r="K93" t="s">
        <v>36</v>
      </c>
      <c r="L93" s="5">
        <f t="shared" si="2"/>
        <v>2325</v>
      </c>
    </row>
    <row r="94" spans="1:12" x14ac:dyDescent="0.3">
      <c r="A94">
        <v>93</v>
      </c>
      <c r="B94" s="2">
        <v>45750</v>
      </c>
      <c r="C94" t="s">
        <v>13</v>
      </c>
      <c r="D94" t="s">
        <v>20</v>
      </c>
      <c r="E94">
        <v>2</v>
      </c>
      <c r="F94">
        <v>1800</v>
      </c>
      <c r="G94" s="3">
        <v>0</v>
      </c>
      <c r="H94" t="s">
        <v>41</v>
      </c>
      <c r="I94" t="s">
        <v>24</v>
      </c>
      <c r="J94" t="s">
        <v>33</v>
      </c>
      <c r="K94" t="s">
        <v>39</v>
      </c>
      <c r="L94" s="5">
        <f t="shared" si="2"/>
        <v>3600</v>
      </c>
    </row>
    <row r="95" spans="1:12" x14ac:dyDescent="0.3">
      <c r="A95">
        <v>94</v>
      </c>
      <c r="B95" s="2">
        <v>45751</v>
      </c>
      <c r="C95" t="s">
        <v>13</v>
      </c>
      <c r="D95" t="s">
        <v>20</v>
      </c>
      <c r="E95">
        <v>5</v>
      </c>
      <c r="F95">
        <v>1800</v>
      </c>
      <c r="G95" s="3">
        <v>7.0000000000000007E-2</v>
      </c>
      <c r="H95" t="s">
        <v>52</v>
      </c>
      <c r="I95" t="s">
        <v>29</v>
      </c>
      <c r="J95" t="s">
        <v>32</v>
      </c>
      <c r="K95" t="s">
        <v>39</v>
      </c>
      <c r="L95" s="5">
        <f t="shared" si="2"/>
        <v>8370</v>
      </c>
    </row>
    <row r="96" spans="1:12" x14ac:dyDescent="0.3">
      <c r="A96">
        <v>95</v>
      </c>
      <c r="B96" s="2">
        <v>45752</v>
      </c>
      <c r="C96" t="s">
        <v>15</v>
      </c>
      <c r="D96" t="s">
        <v>22</v>
      </c>
      <c r="E96">
        <v>7</v>
      </c>
      <c r="F96">
        <v>150</v>
      </c>
      <c r="G96" s="3">
        <v>0.11</v>
      </c>
      <c r="H96" t="s">
        <v>48</v>
      </c>
      <c r="I96" t="s">
        <v>27</v>
      </c>
      <c r="J96" t="s">
        <v>33</v>
      </c>
      <c r="K96" t="s">
        <v>40</v>
      </c>
      <c r="L96" s="5">
        <f t="shared" si="2"/>
        <v>934.5</v>
      </c>
    </row>
    <row r="97" spans="1:12" x14ac:dyDescent="0.3">
      <c r="A97">
        <v>96</v>
      </c>
      <c r="B97" s="2">
        <v>45753</v>
      </c>
      <c r="C97" t="s">
        <v>15</v>
      </c>
      <c r="D97" t="s">
        <v>22</v>
      </c>
      <c r="E97">
        <v>1</v>
      </c>
      <c r="F97">
        <v>150</v>
      </c>
      <c r="G97" s="3">
        <v>0.13</v>
      </c>
      <c r="H97" t="s">
        <v>47</v>
      </c>
      <c r="I97" t="s">
        <v>27</v>
      </c>
      <c r="J97" t="s">
        <v>32</v>
      </c>
      <c r="K97" t="s">
        <v>38</v>
      </c>
      <c r="L97" s="5">
        <f t="shared" si="2"/>
        <v>130.5</v>
      </c>
    </row>
    <row r="98" spans="1:12" x14ac:dyDescent="0.3">
      <c r="A98">
        <v>97</v>
      </c>
      <c r="B98" s="2">
        <v>45754</v>
      </c>
      <c r="C98" t="s">
        <v>12</v>
      </c>
      <c r="D98" t="s">
        <v>19</v>
      </c>
      <c r="E98">
        <v>10</v>
      </c>
      <c r="F98">
        <v>3500</v>
      </c>
      <c r="G98" s="3">
        <v>0.13</v>
      </c>
      <c r="H98" t="s">
        <v>52</v>
      </c>
      <c r="I98" t="s">
        <v>29</v>
      </c>
      <c r="J98" t="s">
        <v>34</v>
      </c>
      <c r="K98" t="s">
        <v>39</v>
      </c>
      <c r="L98" s="5">
        <f t="shared" si="2"/>
        <v>30450</v>
      </c>
    </row>
    <row r="99" spans="1:12" x14ac:dyDescent="0.3">
      <c r="A99">
        <v>98</v>
      </c>
      <c r="B99" s="2">
        <v>45755</v>
      </c>
      <c r="C99" t="s">
        <v>17</v>
      </c>
      <c r="D99" t="s">
        <v>22</v>
      </c>
      <c r="E99">
        <v>2</v>
      </c>
      <c r="F99">
        <v>250</v>
      </c>
      <c r="G99" s="3">
        <v>0</v>
      </c>
      <c r="H99" t="s">
        <v>51</v>
      </c>
      <c r="I99" t="s">
        <v>29</v>
      </c>
      <c r="J99" t="s">
        <v>32</v>
      </c>
      <c r="K99" t="s">
        <v>36</v>
      </c>
      <c r="L99" s="5">
        <f t="shared" si="2"/>
        <v>500</v>
      </c>
    </row>
    <row r="100" spans="1:12" x14ac:dyDescent="0.3">
      <c r="A100">
        <v>99</v>
      </c>
      <c r="B100" s="2">
        <v>45756</v>
      </c>
      <c r="C100" t="s">
        <v>16</v>
      </c>
      <c r="D100" t="s">
        <v>22</v>
      </c>
      <c r="E100">
        <v>2</v>
      </c>
      <c r="F100">
        <v>80</v>
      </c>
      <c r="G100" s="3">
        <v>0</v>
      </c>
      <c r="H100" t="s">
        <v>52</v>
      </c>
      <c r="I100" t="s">
        <v>29</v>
      </c>
      <c r="J100" t="s">
        <v>32</v>
      </c>
      <c r="K100" t="s">
        <v>39</v>
      </c>
      <c r="L100" s="5">
        <f t="shared" si="2"/>
        <v>160</v>
      </c>
    </row>
    <row r="101" spans="1:12" x14ac:dyDescent="0.3">
      <c r="A101">
        <v>100</v>
      </c>
      <c r="B101" s="2">
        <v>45757</v>
      </c>
      <c r="C101" t="s">
        <v>17</v>
      </c>
      <c r="D101" t="s">
        <v>22</v>
      </c>
      <c r="E101">
        <v>4</v>
      </c>
      <c r="F101">
        <v>250</v>
      </c>
      <c r="G101" s="3">
        <v>0.13</v>
      </c>
      <c r="H101" t="s">
        <v>51</v>
      </c>
      <c r="I101" t="s">
        <v>29</v>
      </c>
      <c r="J101" t="s">
        <v>31</v>
      </c>
      <c r="K101" t="s">
        <v>37</v>
      </c>
      <c r="L101" s="5">
        <f t="shared" si="2"/>
        <v>870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B16B4B5-94E8-4985-B015-4A7D12598CE7}">
          <x14:formula1>
            <xm:f>Listas!$A$2:$A$7</xm:f>
          </x14:formula1>
          <xm:sqref>C2:C199</xm:sqref>
        </x14:dataValidation>
        <x14:dataValidation type="list" allowBlank="1" showInputMessage="1" showErrorMessage="1" xr:uid="{9A229241-698E-4A25-855B-A56E6896B4AE}">
          <x14:formula1>
            <xm:f>Listas!$C$2:$C$7</xm:f>
          </x14:formula1>
          <xm:sqref>I2:I200</xm:sqref>
        </x14:dataValidation>
        <x14:dataValidation type="list" allowBlank="1" showInputMessage="1" showErrorMessage="1" xr:uid="{3E892EC6-B701-4CC7-82E7-AC8F74948FFE}">
          <x14:formula1>
            <xm:f>Listas!$D$2:$D$5</xm:f>
          </x14:formula1>
          <xm:sqref>J2:J200</xm:sqref>
        </x14:dataValidation>
        <x14:dataValidation type="list" allowBlank="1" showInputMessage="1" showErrorMessage="1" xr:uid="{FBC27CBD-789F-470B-9600-23B7893F6D66}">
          <x14:formula1>
            <xm:f>Listas!$E$2:$E$6</xm:f>
          </x14:formula1>
          <xm:sqref>K2:K199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8A47C-50EA-45F5-AE81-E5A01F13DB58}">
  <dimension ref="A1:H13"/>
  <sheetViews>
    <sheetView workbookViewId="0">
      <selection activeCell="A8" sqref="A8"/>
    </sheetView>
  </sheetViews>
  <sheetFormatPr defaultRowHeight="14.4" x14ac:dyDescent="0.3"/>
  <cols>
    <col min="1" max="1" width="10.77734375" bestFit="1" customWidth="1"/>
    <col min="2" max="2" width="10.21875" bestFit="1" customWidth="1"/>
    <col min="4" max="4" width="17.21875" bestFit="1" customWidth="1"/>
  </cols>
  <sheetData>
    <row r="1" spans="1:8" x14ac:dyDescent="0.3">
      <c r="A1" t="s">
        <v>11</v>
      </c>
      <c r="B1" t="s">
        <v>18</v>
      </c>
      <c r="C1" t="s">
        <v>23</v>
      </c>
      <c r="D1" t="s">
        <v>30</v>
      </c>
      <c r="E1" t="s">
        <v>35</v>
      </c>
      <c r="F1" t="s">
        <v>5</v>
      </c>
      <c r="G1" t="s">
        <v>8</v>
      </c>
      <c r="H1" t="s">
        <v>7</v>
      </c>
    </row>
    <row r="2" spans="1:8" x14ac:dyDescent="0.3">
      <c r="A2" t="s">
        <v>12</v>
      </c>
      <c r="B2" t="s">
        <v>19</v>
      </c>
      <c r="C2" t="s">
        <v>24</v>
      </c>
      <c r="D2" t="s">
        <v>31</v>
      </c>
      <c r="E2" t="s">
        <v>36</v>
      </c>
      <c r="F2">
        <v>3500</v>
      </c>
      <c r="G2" t="s">
        <v>24</v>
      </c>
      <c r="H2" t="s">
        <v>41</v>
      </c>
    </row>
    <row r="3" spans="1:8" x14ac:dyDescent="0.3">
      <c r="A3" t="s">
        <v>13</v>
      </c>
      <c r="B3" t="s">
        <v>20</v>
      </c>
      <c r="C3" t="s">
        <v>25</v>
      </c>
      <c r="D3" t="s">
        <v>32</v>
      </c>
      <c r="E3" t="s">
        <v>37</v>
      </c>
      <c r="F3">
        <v>1800</v>
      </c>
      <c r="G3" t="s">
        <v>24</v>
      </c>
      <c r="H3" t="s">
        <v>42</v>
      </c>
    </row>
    <row r="4" spans="1:8" x14ac:dyDescent="0.3">
      <c r="A4" t="s">
        <v>14</v>
      </c>
      <c r="B4" t="s">
        <v>21</v>
      </c>
      <c r="C4" t="s">
        <v>26</v>
      </c>
      <c r="D4" t="s">
        <v>33</v>
      </c>
      <c r="E4" t="s">
        <v>38</v>
      </c>
      <c r="F4">
        <v>1200</v>
      </c>
      <c r="G4" t="s">
        <v>25</v>
      </c>
      <c r="H4" t="s">
        <v>43</v>
      </c>
    </row>
    <row r="5" spans="1:8" x14ac:dyDescent="0.3">
      <c r="A5" t="s">
        <v>15</v>
      </c>
      <c r="B5" t="s">
        <v>22</v>
      </c>
      <c r="C5" t="s">
        <v>27</v>
      </c>
      <c r="D5" t="s">
        <v>34</v>
      </c>
      <c r="E5" t="s">
        <v>39</v>
      </c>
      <c r="F5">
        <v>150</v>
      </c>
      <c r="G5" t="s">
        <v>25</v>
      </c>
      <c r="H5" t="s">
        <v>44</v>
      </c>
    </row>
    <row r="6" spans="1:8" x14ac:dyDescent="0.3">
      <c r="A6" t="s">
        <v>16</v>
      </c>
      <c r="C6" t="s">
        <v>28</v>
      </c>
      <c r="E6" t="s">
        <v>40</v>
      </c>
      <c r="F6">
        <v>80</v>
      </c>
      <c r="G6" t="s">
        <v>26</v>
      </c>
      <c r="H6" t="s">
        <v>45</v>
      </c>
    </row>
    <row r="7" spans="1:8" x14ac:dyDescent="0.3">
      <c r="A7" t="s">
        <v>17</v>
      </c>
      <c r="C7" t="s">
        <v>29</v>
      </c>
      <c r="F7">
        <v>250</v>
      </c>
      <c r="G7" t="s">
        <v>26</v>
      </c>
      <c r="H7" t="s">
        <v>46</v>
      </c>
    </row>
    <row r="8" spans="1:8" x14ac:dyDescent="0.3">
      <c r="G8" t="s">
        <v>27</v>
      </c>
      <c r="H8" t="s">
        <v>47</v>
      </c>
    </row>
    <row r="9" spans="1:8" x14ac:dyDescent="0.3">
      <c r="G9" t="s">
        <v>27</v>
      </c>
      <c r="H9" t="s">
        <v>48</v>
      </c>
    </row>
    <row r="10" spans="1:8" x14ac:dyDescent="0.3">
      <c r="G10" t="s">
        <v>28</v>
      </c>
      <c r="H10" t="s">
        <v>49</v>
      </c>
    </row>
    <row r="11" spans="1:8" x14ac:dyDescent="0.3">
      <c r="G11" t="s">
        <v>28</v>
      </c>
      <c r="H11" t="s">
        <v>50</v>
      </c>
    </row>
    <row r="12" spans="1:8" x14ac:dyDescent="0.3">
      <c r="G12" t="s">
        <v>29</v>
      </c>
      <c r="H12" t="s">
        <v>51</v>
      </c>
    </row>
    <row r="13" spans="1:8" x14ac:dyDescent="0.3">
      <c r="G13" t="s">
        <v>29</v>
      </c>
      <c r="H13" t="s">
        <v>52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4650-EFC3-4B37-BDA7-718D7C57E9EF}">
  <dimension ref="A1:Q7"/>
  <sheetViews>
    <sheetView topLeftCell="L1" workbookViewId="0">
      <selection activeCell="U14" sqref="U14"/>
    </sheetView>
  </sheetViews>
  <sheetFormatPr defaultRowHeight="14.4" x14ac:dyDescent="0.3"/>
  <cols>
    <col min="1" max="1" width="19.21875" bestFit="1" customWidth="1"/>
    <col min="2" max="2" width="12.5546875" bestFit="1" customWidth="1"/>
    <col min="4" max="4" width="10.77734375" bestFit="1" customWidth="1"/>
    <col min="5" max="5" width="12.5546875" bestFit="1" customWidth="1"/>
    <col min="8" max="8" width="14" bestFit="1" customWidth="1"/>
    <col min="10" max="10" width="8.77734375" bestFit="1" customWidth="1"/>
    <col min="11" max="11" width="19.21875" bestFit="1" customWidth="1"/>
    <col min="14" max="14" width="14" bestFit="1" customWidth="1"/>
    <col min="17" max="17" width="14" bestFit="1" customWidth="1"/>
  </cols>
  <sheetData>
    <row r="1" spans="1:17" x14ac:dyDescent="0.3">
      <c r="A1" t="s">
        <v>54</v>
      </c>
      <c r="B1" t="s">
        <v>55</v>
      </c>
      <c r="D1" t="s">
        <v>2</v>
      </c>
      <c r="E1" t="s">
        <v>53</v>
      </c>
      <c r="G1" t="s">
        <v>10</v>
      </c>
      <c r="H1" t="s">
        <v>53</v>
      </c>
      <c r="J1" t="s">
        <v>10</v>
      </c>
      <c r="K1" t="s">
        <v>57</v>
      </c>
      <c r="M1" t="s">
        <v>8</v>
      </c>
      <c r="N1" t="s">
        <v>53</v>
      </c>
      <c r="P1" s="1" t="s">
        <v>60</v>
      </c>
      <c r="Q1" s="1" t="s">
        <v>53</v>
      </c>
    </row>
    <row r="2" spans="1:17" x14ac:dyDescent="0.3">
      <c r="A2" t="s">
        <v>56</v>
      </c>
      <c r="B2" s="5">
        <f>SUM(Vendas!L2:L101)</f>
        <v>627895.4</v>
      </c>
      <c r="D2" t="s">
        <v>12</v>
      </c>
      <c r="E2" s="5">
        <f>SUMIF(Vendas!$C$2:$C$101,D2,Vendas!$L$2:$L$101)</f>
        <v>370650</v>
      </c>
      <c r="G2" t="s">
        <v>36</v>
      </c>
      <c r="H2" s="6">
        <f>SUMIF(Vendas!$K$2:$K$101,G2,Vendas!$L$2:$L$101)</f>
        <v>78304.800000000003</v>
      </c>
      <c r="J2" t="s">
        <v>36</v>
      </c>
      <c r="K2">
        <f>COUNTIF(Vendas!$K$2:$K$101,J2)</f>
        <v>15</v>
      </c>
      <c r="M2" t="s">
        <v>24</v>
      </c>
      <c r="N2" s="6">
        <f>SUMIF(Vendas!$I$2:$I$101,M2,Vendas!$L$2:$L$101)</f>
        <v>99332.800000000003</v>
      </c>
      <c r="P2" s="1" t="s">
        <v>61</v>
      </c>
      <c r="Q2" s="7">
        <f>SUMIFS(Vendas!$L$2:$L$101,Vendas!$B$2:$B$101,"&gt;="&amp;DATE(2025,1,1),Vendas!$B$2:$B$101,"&lt;"&amp;DATE(2025,2,1))</f>
        <v>247510.8</v>
      </c>
    </row>
    <row r="3" spans="1:17" x14ac:dyDescent="0.3">
      <c r="A3" t="s">
        <v>57</v>
      </c>
      <c r="B3">
        <f>COUNTA(Vendas!A2:A101)</f>
        <v>100</v>
      </c>
      <c r="D3" t="s">
        <v>13</v>
      </c>
      <c r="E3" s="5">
        <f>SUMIF(Vendas!$C$2:$C$101,D3,Vendas!$L$2:$L$101)</f>
        <v>173880</v>
      </c>
      <c r="G3" t="s">
        <v>37</v>
      </c>
      <c r="H3" s="6">
        <f>SUMIF(Vendas!$K$2:$K$101,G3,Vendas!$L$2:$L$101)</f>
        <v>118652.6</v>
      </c>
      <c r="J3" t="s">
        <v>37</v>
      </c>
      <c r="K3">
        <f>COUNTIF(Vendas!$K$2:$K$101,J3)</f>
        <v>21</v>
      </c>
      <c r="M3" t="s">
        <v>25</v>
      </c>
      <c r="N3" s="6">
        <f>SUMIF(Vendas!$I$2:$I$101,M3,Vendas!$L$2:$L$101)</f>
        <v>121590.8</v>
      </c>
      <c r="P3" s="1" t="s">
        <v>62</v>
      </c>
      <c r="Q3" s="7">
        <f>SUMIFS(Vendas!$L$2:$L$101,Vendas!$B$2:$B$101,"&gt;="&amp;DATE(2025,2,1),Vendas!$B$2:$B$101,"&lt;"&amp;DATE(2025,3,1))</f>
        <v>150729.1</v>
      </c>
    </row>
    <row r="4" spans="1:17" x14ac:dyDescent="0.3">
      <c r="A4" t="s">
        <v>58</v>
      </c>
      <c r="B4">
        <f>SUM(Vendas!E2:E101)</f>
        <v>510</v>
      </c>
      <c r="D4" t="s">
        <v>14</v>
      </c>
      <c r="E4" s="5">
        <f>SUMIF(Vendas!$C$2:$C$101,D4,Vendas!$L$2:$L$101)</f>
        <v>43668</v>
      </c>
      <c r="G4" t="s">
        <v>38</v>
      </c>
      <c r="H4" s="6">
        <f>SUMIF(Vendas!$K$2:$K$101,G4,Vendas!$L$2:$L$101)</f>
        <v>143971.9</v>
      </c>
      <c r="J4" t="s">
        <v>38</v>
      </c>
      <c r="K4">
        <f>COUNTIF(Vendas!$K$2:$K$101,J4)</f>
        <v>30</v>
      </c>
      <c r="M4" t="s">
        <v>26</v>
      </c>
      <c r="N4" s="6">
        <f>SUMIF(Vendas!$I$2:$I$101,M4,Vendas!$L$2:$L$101)</f>
        <v>97626.099999999991</v>
      </c>
      <c r="P4" s="1" t="s">
        <v>63</v>
      </c>
      <c r="Q4" s="7">
        <f>SUMIFS(Vendas!$L$2:$L$101,Vendas!$B$2:$B$101,"&gt;="&amp;DATE(2025,3,1),Vendas!$B$2:$B$101,"&lt;"&amp;DATE(2025,4,1))</f>
        <v>182158.7</v>
      </c>
    </row>
    <row r="5" spans="1:17" x14ac:dyDescent="0.3">
      <c r="A5" t="s">
        <v>59</v>
      </c>
      <c r="B5" s="5">
        <f>B2/B3</f>
        <v>6278.9540000000006</v>
      </c>
      <c r="D5" t="s">
        <v>15</v>
      </c>
      <c r="E5" s="5">
        <f>SUMIF(Vendas!$C$2:$C$101,D5,Vendas!$L$2:$L$101)</f>
        <v>14029.5</v>
      </c>
      <c r="G5" t="s">
        <v>39</v>
      </c>
      <c r="H5" s="6">
        <f>SUMIF(Vendas!$K$2:$K$101,G5,Vendas!$L$2:$L$101)</f>
        <v>127121.8</v>
      </c>
      <c r="J5" t="s">
        <v>39</v>
      </c>
      <c r="K5">
        <f>COUNTIF(Vendas!$K$2:$K$101,J5)</f>
        <v>17</v>
      </c>
      <c r="M5" t="s">
        <v>27</v>
      </c>
      <c r="N5" s="6">
        <f>SUMIF(Vendas!$I$2:$I$101,M5,Vendas!$L$2:$L$101)</f>
        <v>104907.8</v>
      </c>
      <c r="P5" s="1" t="s">
        <v>64</v>
      </c>
      <c r="Q5" s="7">
        <f>SUMIFS(Vendas!$L$2:$L$101,Vendas!$B$2:$B$101,"&gt;="&amp;DATE(2025,4,1),Vendas!$B$2:$B$101,"&lt;"&amp;DATE(2025,5,1))</f>
        <v>47496.800000000003</v>
      </c>
    </row>
    <row r="6" spans="1:17" x14ac:dyDescent="0.3">
      <c r="D6" t="s">
        <v>16</v>
      </c>
      <c r="E6" s="5">
        <f>SUMIF(Vendas!$C$2:$C$101,D6,Vendas!$L$2:$L$101)</f>
        <v>4590.3999999999996</v>
      </c>
      <c r="G6" t="s">
        <v>40</v>
      </c>
      <c r="H6" s="6">
        <f>SUMIF(Vendas!$K$2:$K$101,G6,Vendas!$L$2:$L$101)</f>
        <v>159844.29999999999</v>
      </c>
      <c r="J6" t="s">
        <v>40</v>
      </c>
      <c r="K6">
        <f>COUNTIF(Vendas!$K$2:$K$101,J6)</f>
        <v>17</v>
      </c>
      <c r="M6" t="s">
        <v>28</v>
      </c>
      <c r="N6" s="6">
        <f>SUMIF(Vendas!$I$2:$I$101,M6,Vendas!$L$2:$L$101)</f>
        <v>96768</v>
      </c>
    </row>
    <row r="7" spans="1:17" x14ac:dyDescent="0.3">
      <c r="D7" t="s">
        <v>17</v>
      </c>
      <c r="E7" s="5">
        <f>SUMIF(Vendas!$C$2:$C$101,D7,Vendas!$L$2:$L$101)</f>
        <v>21077.5</v>
      </c>
      <c r="M7" t="s">
        <v>29</v>
      </c>
      <c r="N7" s="6">
        <f>SUMIF(Vendas!$I$2:$I$101,M7,Vendas!$L$2:$L$101)</f>
        <v>107669.9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Vendas</vt:lpstr>
      <vt:lpstr>Listas</vt:lpstr>
      <vt:lpstr>Indicadores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Gabrielly</dc:creator>
  <cp:lastModifiedBy>Amanda Gabrielly</cp:lastModifiedBy>
  <dcterms:created xsi:type="dcterms:W3CDTF">2026-08-19T00:28:28Z</dcterms:created>
  <dcterms:modified xsi:type="dcterms:W3CDTF">2026-08-19T01:33:48Z</dcterms:modified>
</cp:coreProperties>
</file>